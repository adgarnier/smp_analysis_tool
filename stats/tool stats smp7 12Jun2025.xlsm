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quintiles-my.sharepoint.com/personal/andy_garnier_q2labsolutions_com/Documents/Documents/python/"/>
    </mc:Choice>
  </mc:AlternateContent>
  <xr:revisionPtr revIDLastSave="4143" documentId="8_{13849090-4BB0-438B-9424-CEE46C65BD2F}" xr6:coauthVersionLast="47" xr6:coauthVersionMax="47" xr10:uidLastSave="{4642187C-8599-438F-93C9-9A6786E29D0F}"/>
  <bookViews>
    <workbookView xWindow="28680" yWindow="-120" windowWidth="29040" windowHeight="15720" tabRatio="809" activeTab="1" xr2:uid="{840F811A-82DD-4BB4-8981-791FFE0A6A8B}"/>
  </bookViews>
  <sheets>
    <sheet name="Sign_count" sheetId="34" r:id="rId1"/>
    <sheet name="SUMMARY" sheetId="19" r:id="rId2"/>
    <sheet name="user_count" sheetId="31" r:id="rId3"/>
    <sheet name="Start_count" sheetId="30" r:id="rId4"/>
    <sheet name="Open_count" sheetId="28" r:id="rId5"/>
    <sheet name="Export_count" sheetId="27" r:id="rId6"/>
    <sheet name="Cycle_count" sheetId="26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1" i="19" l="1"/>
  <c r="G3" i="19"/>
  <c r="G2" i="19"/>
  <c r="D2" i="19"/>
  <c r="B2" i="19"/>
  <c r="I34" i="19"/>
  <c r="F30" i="19"/>
  <c r="E34" i="19"/>
  <c r="C34" i="19"/>
  <c r="F27" i="19"/>
  <c r="F28" i="19"/>
  <c r="F29" i="19"/>
  <c r="F31" i="19"/>
  <c r="F32" i="19"/>
  <c r="F33" i="19"/>
  <c r="F26" i="19"/>
  <c r="F2" i="19"/>
  <c r="F3" i="19"/>
  <c r="E3" i="19"/>
  <c r="D3" i="19"/>
  <c r="C3" i="19"/>
  <c r="B3" i="19"/>
  <c r="C2" i="19"/>
  <c r="E2" i="19"/>
  <c r="S8" i="19" l="1"/>
  <c r="S12" i="19"/>
  <c r="U12" i="19" s="1"/>
  <c r="W12" i="19" s="1"/>
  <c r="S7" i="19"/>
  <c r="U11" i="19"/>
  <c r="W11" i="19" s="1"/>
  <c r="F34" i="19"/>
  <c r="S9" i="19" l="1"/>
  <c r="S13" i="19"/>
  <c r="U13" i="19" s="1"/>
  <c r="W13" i="19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2AFDEC4-B8A4-4F2D-9A25-8172CABFD069}" keepAlive="1" name="Query - user_count" description="Connection to the 'user_count' query in the workbook." type="5" refreshedVersion="0" background="1" saveData="1">
    <dbPr connection="Provider=Microsoft.Mashup.OleDb.1;Data Source=$Workbook$;Location=user_count;Extended Properties=&quot;&quot;" command="SELECT * FROM [user_count]"/>
  </connection>
  <connection id="2" xr16:uid="{A19764B6-06DC-4409-8ABD-4913FA9EA8C2}" keepAlive="1" name="Query - user_count (2)" description="Connection to the 'user_count (2)' query in the workbook." type="5" refreshedVersion="8" background="1" saveData="1">
    <dbPr connection="Provider=Microsoft.Mashup.OleDb.1;Data Source=$Workbook$;Location=&quot;user_count (2)&quot;;Extended Properties=&quot;&quot;" command="SELECT * FROM [user_count (2)]"/>
  </connection>
</connections>
</file>

<file path=xl/sharedStrings.xml><?xml version="1.0" encoding="utf-8"?>
<sst xmlns="http://schemas.openxmlformats.org/spreadsheetml/2006/main" count="811" uniqueCount="61">
  <si>
    <t>u1179678</t>
  </si>
  <si>
    <t>u1179378</t>
  </si>
  <si>
    <t>u1175631</t>
  </si>
  <si>
    <t>u1167264</t>
  </si>
  <si>
    <t>user</t>
  </si>
  <si>
    <t>User</t>
  </si>
  <si>
    <t>Date</t>
  </si>
  <si>
    <t>Time</t>
  </si>
  <si>
    <t>print</t>
  </si>
  <si>
    <t>open</t>
  </si>
  <si>
    <t>export</t>
  </si>
  <si>
    <t>cycle</t>
  </si>
  <si>
    <t>start</t>
  </si>
  <si>
    <t>count</t>
  </si>
  <si>
    <t>Plates</t>
  </si>
  <si>
    <t>plates</t>
  </si>
  <si>
    <t>u1173959</t>
  </si>
  <si>
    <t>Wandy</t>
  </si>
  <si>
    <t>Waniel</t>
  </si>
  <si>
    <t>Carry</t>
  </si>
  <si>
    <t>Sol</t>
  </si>
  <si>
    <t>D man</t>
  </si>
  <si>
    <t>u1181421</t>
  </si>
  <si>
    <t>Cam Cam</t>
  </si>
  <si>
    <t>mask</t>
  </si>
  <si>
    <t>saveasmod</t>
  </si>
  <si>
    <t>raw clicks</t>
  </si>
  <si>
    <t>tool clicks (per set)</t>
  </si>
  <si>
    <t>raw 10</t>
  </si>
  <si>
    <t>10+10</t>
  </si>
  <si>
    <t>tool 10</t>
  </si>
  <si>
    <t>reduction</t>
  </si>
  <si>
    <t>SUM</t>
  </si>
  <si>
    <t>raw time 10</t>
  </si>
  <si>
    <t>tool time 10</t>
  </si>
  <si>
    <t>export LIMS</t>
  </si>
  <si>
    <t>export 1</t>
  </si>
  <si>
    <t>sec</t>
  </si>
  <si>
    <t>Noob</t>
  </si>
  <si>
    <t>u1172844</t>
  </si>
  <si>
    <t>u1140713</t>
  </si>
  <si>
    <t>mlou</t>
  </si>
  <si>
    <t>Quick stats</t>
  </si>
  <si>
    <t>clicks needed</t>
  </si>
  <si>
    <t>click done</t>
  </si>
  <si>
    <t>clicks saved</t>
  </si>
  <si>
    <t>raw time</t>
  </si>
  <si>
    <t>running time</t>
  </si>
  <si>
    <t>min</t>
  </si>
  <si>
    <t>hrs</t>
  </si>
  <si>
    <t>raw saved time</t>
  </si>
  <si>
    <t>dollars</t>
  </si>
  <si>
    <t>10.5min</t>
  </si>
  <si>
    <t>u1122306</t>
  </si>
  <si>
    <t>u1122369</t>
  </si>
  <si>
    <t>u1173103</t>
  </si>
  <si>
    <t>u1171885</t>
  </si>
  <si>
    <t>sign</t>
  </si>
  <si>
    <t>u1122056</t>
  </si>
  <si>
    <t>u1180898</t>
  </si>
  <si>
    <t>u1142511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</si>
</sst>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21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NumberFormat="1"/>
    <xf numFmtId="10" fontId="0" fillId="0" borderId="0" xfId="0" applyNumberFormat="1"/>
    <xf numFmtId="10" fontId="2" fillId="0" borderId="0" xfId="0" applyNumberFormat="1" applyFont="1"/>
    <xf numFmtId="0" fontId="2" fillId="0" borderId="0" xfId="0" applyFont="1"/>
    <xf numFmtId="0" fontId="0" fillId="0" borderId="0" xfId="0" applyAlignment="1">
      <alignment horizontal="right"/>
    </xf>
    <xf numFmtId="0" fontId="0" fillId="0" borderId="0" xfId="0" applyNumberFormat="1" applyAlignment="1">
      <alignment horizontal="right"/>
    </xf>
    <xf numFmtId="0" fontId="3" fillId="0" borderId="0" xfId="0" applyNumberFormat="1" applyFont="1"/>
  </cellXfs>
  <cellStyles count="1">
    <cellStyle name="Normal" xfId="0" builtinId="0"/>
  </cellStyles>
  <dxfs count="12">
    <dxf>
      <numFmt numFmtId="26" formatCode="h:mm:ss"/>
    </dxf>
    <dxf>
      <numFmt numFmtId="164" formatCode="dd/mm/yyyy"/>
    </dxf>
    <dxf>
      <numFmt numFmtId="26" formatCode="h:mm:ss"/>
    </dxf>
    <dxf>
      <numFmt numFmtId="164" formatCode="dd/mm/yyyy"/>
    </dxf>
    <dxf>
      <numFmt numFmtId="26" formatCode="h:mm:ss"/>
    </dxf>
    <dxf>
      <numFmt numFmtId="164" formatCode="dd/mm/yyyy"/>
    </dxf>
    <dxf>
      <numFmt numFmtId="26" formatCode="h:mm:ss"/>
    </dxf>
    <dxf>
      <numFmt numFmtId="164" formatCode="dd/mm/yyyy"/>
    </dxf>
    <dxf>
      <numFmt numFmtId="26" formatCode="h:mm:ss"/>
    </dxf>
    <dxf>
      <numFmt numFmtId="164" formatCode="dd/mm/yyyy"/>
    </dxf>
    <dxf>
      <numFmt numFmtId="26" formatCode="h:mm:ss"/>
    </dxf>
    <dxf>
      <numFmt numFmtId="164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SUMMARY!$B$1:$I$1</c:f>
              <c:strCache>
                <c:ptCount val="6"/>
                <c:pt idx="0">
                  <c:v>user</c:v>
                </c:pt>
                <c:pt idx="1">
                  <c:v>start</c:v>
                </c:pt>
                <c:pt idx="2">
                  <c:v>open</c:v>
                </c:pt>
                <c:pt idx="3">
                  <c:v>export</c:v>
                </c:pt>
                <c:pt idx="4">
                  <c:v>cycle</c:v>
                </c:pt>
                <c:pt idx="5">
                  <c:v>sign</c:v>
                </c:pt>
              </c:strCache>
            </c:strRef>
          </c:cat>
          <c:val>
            <c:numRef>
              <c:f>SUMMARY!$B$2:$I$2</c:f>
              <c:numCache>
                <c:formatCode>General</c:formatCode>
                <c:ptCount val="8"/>
                <c:pt idx="0">
                  <c:v>200</c:v>
                </c:pt>
                <c:pt idx="1">
                  <c:v>47</c:v>
                </c:pt>
                <c:pt idx="2">
                  <c:v>191</c:v>
                </c:pt>
                <c:pt idx="3">
                  <c:v>143</c:v>
                </c:pt>
                <c:pt idx="4">
                  <c:v>2</c:v>
                </c:pt>
                <c:pt idx="5">
                  <c:v>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A0-43C7-B542-E9370958E1A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25"/>
        <c:axId val="550812751"/>
        <c:axId val="550809871"/>
      </c:barChart>
      <c:catAx>
        <c:axId val="550812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809871"/>
        <c:crosses val="autoZero"/>
        <c:auto val="1"/>
        <c:lblAlgn val="ctr"/>
        <c:lblOffset val="100"/>
        <c:noMultiLvlLbl val="0"/>
      </c:catAx>
      <c:valAx>
        <c:axId val="550809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Usage 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812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SUMMARY!$B$1:$I$1</c15:sqref>
                  </c15:fullRef>
                </c:ext>
              </c:extLst>
              <c:f>SUMMARY!$D$1:$I$1</c:f>
              <c:strCache>
                <c:ptCount val="4"/>
                <c:pt idx="0">
                  <c:v>open</c:v>
                </c:pt>
                <c:pt idx="1">
                  <c:v>export</c:v>
                </c:pt>
                <c:pt idx="2">
                  <c:v>cycle</c:v>
                </c:pt>
                <c:pt idx="3">
                  <c:v>sign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SUMMARY!$B$3:$I$3</c15:sqref>
                  </c15:fullRef>
                </c:ext>
              </c:extLst>
              <c:f>SUMMARY!$D$3:$I$3</c:f>
              <c:numCache>
                <c:formatCode>General</c:formatCode>
                <c:ptCount val="6"/>
                <c:pt idx="0">
                  <c:v>1611</c:v>
                </c:pt>
                <c:pt idx="1">
                  <c:v>987</c:v>
                </c:pt>
                <c:pt idx="2">
                  <c:v>12</c:v>
                </c:pt>
                <c:pt idx="3">
                  <c:v>1078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02-4F84-917C-2D73231CCB6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25"/>
        <c:axId val="550812751"/>
        <c:axId val="550809871"/>
      </c:barChart>
      <c:catAx>
        <c:axId val="550812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809871"/>
        <c:crosses val="autoZero"/>
        <c:auto val="1"/>
        <c:lblAlgn val="ctr"/>
        <c:lblOffset val="100"/>
        <c:noMultiLvlLbl val="0"/>
      </c:catAx>
      <c:valAx>
        <c:axId val="550809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Amount of plates</a:t>
                </a:r>
              </a:p>
              <a:p>
                <a:pPr>
                  <a:defRPr/>
                </a:pP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812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253365</xdr:colOff>
      <xdr:row>5</xdr:row>
      <xdr:rowOff>1905</xdr:rowOff>
    </xdr:from>
    <xdr:to>
      <xdr:col>8</xdr:col>
      <xdr:colOff>659130</xdr:colOff>
      <xdr:row>20</xdr:row>
      <xdr:rowOff>1905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571A761-5340-CB94-F793-C41B376E2A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60958</xdr:colOff>
      <xdr:row>5</xdr:row>
      <xdr:rowOff>53340</xdr:rowOff>
    </xdr:from>
    <xdr:to>
      <xdr:col>16</xdr:col>
      <xdr:colOff>38099</xdr:colOff>
      <xdr:row>20</xdr:row>
      <xdr:rowOff>53340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44BF64-3FD8-4F94-A8C2-8554BB27DD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9B8BBC8-E47C-422C-AACC-369E8FA3555E}" name="Sign_count_Table" displayName="Sign_count_Table" ref="A1:D144" totalsRowShown="0">
  <autoFilter ref="A1:D144" xr:uid="{D9B8BBC8-E47C-422C-AACC-369E8FA3555E}"/>
  <tableColumns count="4">
    <tableColumn id="1" xr3:uid="{5425D2AC-F259-4E85-A360-6F2C0C3EA13A}" name="User"/>
    <tableColumn id="2" xr3:uid="{B4D03E72-995D-4322-977D-318AD421EB70}" name="Date" dataDxfId="5"/>
    <tableColumn id="3" xr3:uid="{7A100959-5DFB-410D-89BA-4D61DC26A5CB}" name="Time" dataDxfId="4"/>
    <tableColumn id="4" xr3:uid="{E617F96D-165E-487F-8489-125D39FC3ECC}" name="Plat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BDA164C-9241-4E05-BD58-42FCF6E3B6FD}" name="user_count_Table" displayName="user_count_Table" ref="A1:D201" totalsRowShown="0">
  <autoFilter ref="A1:D201" xr:uid="{0BDA164C-9241-4E05-BD58-42FCF6E3B6FD}"/>
  <tableColumns count="4">
    <tableColumn id="1" xr3:uid="{24BBDDC9-9E2F-4C8E-9BBD-7D05B223A0CF}" name="User"/>
    <tableColumn id="2" xr3:uid="{9ADDF0EF-F669-4052-8132-4D0B33152446}" name="Date" dataDxfId="1"/>
    <tableColumn id="3" xr3:uid="{DD4CE489-FE18-4F49-A46A-327027694732}" name="Time" dataDxfId="0"/>
    <tableColumn id="4" xr3:uid="{189C9C64-9614-480B-9E20-721610BC2F69}" name="Plat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D32963A-55D4-4E32-ABDF-437FB28DEA07}" name="Start_count_Table" displayName="Start_count_Table" ref="A1:D48" totalsRowShown="0">
  <autoFilter ref="A1:D48" xr:uid="{AD32963A-55D4-4E32-ABDF-437FB28DEA07}"/>
  <tableColumns count="4">
    <tableColumn id="1" xr3:uid="{582F6E6B-0D31-4642-9655-9702A7B92A65}" name="User"/>
    <tableColumn id="2" xr3:uid="{4756BC41-50DC-4D31-9A3B-B175F555F938}" name="Date" dataDxfId="3"/>
    <tableColumn id="3" xr3:uid="{63A4AD3E-826D-438D-B08C-3EA54BE62250}" name="Time" dataDxfId="2"/>
    <tableColumn id="4" xr3:uid="{DFCCD9BF-2B7A-4D8F-AFF7-02159F0B1F16}" name="Plat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80B1A2D-D4B4-4350-A541-C1D7D441E137}" name="Open_count_Table" displayName="Open_count_Table" ref="A1:D192" totalsRowShown="0">
  <autoFilter ref="A1:D192" xr:uid="{D80B1A2D-D4B4-4350-A541-C1D7D441E137}"/>
  <tableColumns count="4">
    <tableColumn id="1" xr3:uid="{D3416E60-8393-4B49-8F8D-2E87E1F3446D}" name="User"/>
    <tableColumn id="2" xr3:uid="{90546614-C696-4203-9481-55D539749ADB}" name="Date" dataDxfId="7"/>
    <tableColumn id="3" xr3:uid="{1534DF38-6016-4BEB-95F6-952B948F1D78}" name="Time" dataDxfId="6"/>
    <tableColumn id="4" xr3:uid="{3D826896-031A-43D9-89EC-136116562A50}" name="Plate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5686C98-1B7A-4DFE-9365-41995EC840AF}" name="Export_count_Table" displayName="Export_count_Table" ref="A1:D144" totalsRowShown="0">
  <autoFilter ref="A1:D144" xr:uid="{85686C98-1B7A-4DFE-9365-41995EC840AF}"/>
  <tableColumns count="4">
    <tableColumn id="1" xr3:uid="{B386E710-FF95-49F2-A115-A07E3228C7B9}" name="User"/>
    <tableColumn id="2" xr3:uid="{D99DC796-0E74-41EC-97E6-C364D968F318}" name="Date" dataDxfId="9"/>
    <tableColumn id="3" xr3:uid="{627C49E5-1127-4987-B21D-4AF5BF2667D3}" name="Time" dataDxfId="8"/>
    <tableColumn id="4" xr3:uid="{1D71F0A9-7D3C-4D96-9D30-B3F7F859695C}" name="Plate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F25D975-8C9E-41B9-8460-D2F53F83F510}" name="Cycle_count_Table" displayName="Cycle_count_Table" ref="A1:D3" totalsRowShown="0">
  <autoFilter ref="A1:D3" xr:uid="{BF25D975-8C9E-41B9-8460-D2F53F83F510}"/>
  <tableColumns count="4">
    <tableColumn id="1" xr3:uid="{625282BF-D1D7-47E1-AF06-0582F238B7E0}" name="User"/>
    <tableColumn id="2" xr3:uid="{4A368802-BD29-4C7C-8783-63B53923D6EF}" name="Date" dataDxfId="11"/>
    <tableColumn id="3" xr3:uid="{D1E14F5A-67A8-4AA0-A9B4-3067533B115C}" name="Time" dataDxfId="10"/>
    <tableColumn id="4" xr3:uid="{72D674CC-448E-4D30-8653-D2144B9E3AD0}" name="Pla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1324B-1AED-459F-9C51-C4215BE10A2C}">
  <sheetPr codeName="Sheet4"/>
  <dimension ref="A1:D144"/>
  <sheetViews>
    <sheetView workbookViewId="0">
      <selection activeCell="A144" sqref="A144"/>
    </sheetView>
  </sheetViews>
  <sheetFormatPr defaultRowHeight="14.4" x14ac:dyDescent="0.3"/>
  <cols>
    <col min="2" max="2" width="10.5546875" bestFit="1" customWidth="1"/>
  </cols>
  <sheetData>
    <row r="1" spans="1:4" x14ac:dyDescent="0.3">
      <c r="A1" t="s">
        <v>5</v>
      </c>
      <c r="B1" t="s">
        <v>6</v>
      </c>
      <c r="C1" t="s">
        <v>7</v>
      </c>
      <c r="D1" t="s">
        <v>14</v>
      </c>
    </row>
    <row r="2" spans="1:4" x14ac:dyDescent="0.3">
      <c r="A2" t="s">
        <v>1</v>
      </c>
      <c r="B2" s="2">
        <v>45721</v>
      </c>
      <c r="C2" s="1">
        <v>0.5663541666666666</v>
      </c>
      <c r="D2">
        <v>16</v>
      </c>
    </row>
    <row r="3" spans="1:4" x14ac:dyDescent="0.3">
      <c r="A3" t="s">
        <v>1</v>
      </c>
      <c r="B3" s="2">
        <v>45721</v>
      </c>
      <c r="C3" s="1">
        <v>0.57141203703703702</v>
      </c>
      <c r="D3">
        <v>7</v>
      </c>
    </row>
    <row r="4" spans="1:4" x14ac:dyDescent="0.3">
      <c r="A4" t="s">
        <v>16</v>
      </c>
      <c r="B4" s="2">
        <v>45734</v>
      </c>
      <c r="C4" s="1">
        <v>0.72633101851851845</v>
      </c>
      <c r="D4">
        <v>8</v>
      </c>
    </row>
    <row r="5" spans="1:4" x14ac:dyDescent="0.3">
      <c r="A5" t="s">
        <v>1</v>
      </c>
      <c r="B5" s="2">
        <v>45736</v>
      </c>
      <c r="C5" s="1">
        <v>0.50263888888888886</v>
      </c>
      <c r="D5">
        <v>3</v>
      </c>
    </row>
    <row r="6" spans="1:4" x14ac:dyDescent="0.3">
      <c r="A6" t="s">
        <v>1</v>
      </c>
      <c r="B6" s="2">
        <v>45736</v>
      </c>
      <c r="C6" s="1">
        <v>0.50343749999999998</v>
      </c>
      <c r="D6">
        <v>3</v>
      </c>
    </row>
    <row r="7" spans="1:4" x14ac:dyDescent="0.3">
      <c r="A7" t="s">
        <v>1</v>
      </c>
      <c r="B7" s="2">
        <v>45736</v>
      </c>
      <c r="C7" s="1">
        <v>0.50520833333333337</v>
      </c>
      <c r="D7">
        <v>3</v>
      </c>
    </row>
    <row r="8" spans="1:4" x14ac:dyDescent="0.3">
      <c r="A8" t="s">
        <v>1</v>
      </c>
      <c r="B8" s="2">
        <v>45736</v>
      </c>
      <c r="C8" s="1">
        <v>0.50594907407407408</v>
      </c>
      <c r="D8">
        <v>3</v>
      </c>
    </row>
    <row r="9" spans="1:4" x14ac:dyDescent="0.3">
      <c r="A9" t="s">
        <v>16</v>
      </c>
      <c r="B9" s="2">
        <v>45741</v>
      </c>
      <c r="C9" s="1">
        <v>0.68239583333333342</v>
      </c>
      <c r="D9">
        <v>8</v>
      </c>
    </row>
    <row r="10" spans="1:4" x14ac:dyDescent="0.3">
      <c r="A10" t="s">
        <v>1</v>
      </c>
      <c r="B10" s="2">
        <v>45758</v>
      </c>
      <c r="C10" s="1">
        <v>0.49526620370370367</v>
      </c>
      <c r="D10">
        <v>4</v>
      </c>
    </row>
    <row r="11" spans="1:4" x14ac:dyDescent="0.3">
      <c r="A11" t="s">
        <v>1</v>
      </c>
      <c r="B11" s="2">
        <v>45758</v>
      </c>
      <c r="C11" s="1">
        <v>0.49614583333333334</v>
      </c>
      <c r="D11">
        <v>1</v>
      </c>
    </row>
    <row r="12" spans="1:4" x14ac:dyDescent="0.3">
      <c r="A12" t="s">
        <v>1</v>
      </c>
      <c r="B12" s="2">
        <v>45758</v>
      </c>
      <c r="C12" s="1">
        <v>0.49670138888888887</v>
      </c>
      <c r="D12">
        <v>1</v>
      </c>
    </row>
    <row r="13" spans="1:4" x14ac:dyDescent="0.3">
      <c r="A13" t="s">
        <v>53</v>
      </c>
      <c r="B13" s="2">
        <v>45763</v>
      </c>
      <c r="C13" s="1">
        <v>0.44130787037037034</v>
      </c>
      <c r="D13">
        <v>3</v>
      </c>
    </row>
    <row r="14" spans="1:4" x14ac:dyDescent="0.3">
      <c r="A14" t="s">
        <v>39</v>
      </c>
      <c r="B14" s="2">
        <v>45769</v>
      </c>
      <c r="C14" s="1">
        <v>0.53081018518518519</v>
      </c>
      <c r="D14">
        <v>8</v>
      </c>
    </row>
    <row r="15" spans="1:4" x14ac:dyDescent="0.3">
      <c r="A15" t="s">
        <v>39</v>
      </c>
      <c r="B15" s="2">
        <v>45769</v>
      </c>
      <c r="C15" s="1">
        <v>0.69763888888888881</v>
      </c>
      <c r="D15">
        <v>8</v>
      </c>
    </row>
    <row r="16" spans="1:4" x14ac:dyDescent="0.3">
      <c r="A16" t="s">
        <v>1</v>
      </c>
      <c r="B16" s="2">
        <v>45770</v>
      </c>
      <c r="C16" s="1">
        <v>0.57737268518518514</v>
      </c>
      <c r="D16">
        <v>10</v>
      </c>
    </row>
    <row r="17" spans="1:4" x14ac:dyDescent="0.3">
      <c r="A17" t="s">
        <v>1</v>
      </c>
      <c r="B17" s="2">
        <v>45770</v>
      </c>
      <c r="C17" s="1">
        <v>0.5779050925925926</v>
      </c>
      <c r="D17">
        <v>10</v>
      </c>
    </row>
    <row r="18" spans="1:4" x14ac:dyDescent="0.3">
      <c r="A18" t="s">
        <v>39</v>
      </c>
      <c r="B18" s="2">
        <v>45771</v>
      </c>
      <c r="C18" s="1">
        <v>0.56741898148148151</v>
      </c>
      <c r="D18">
        <v>8</v>
      </c>
    </row>
    <row r="19" spans="1:4" x14ac:dyDescent="0.3">
      <c r="A19" t="s">
        <v>55</v>
      </c>
      <c r="B19" s="2">
        <v>45772</v>
      </c>
      <c r="C19" s="1">
        <v>0.55495370370370367</v>
      </c>
      <c r="D19">
        <v>3</v>
      </c>
    </row>
    <row r="20" spans="1:4" x14ac:dyDescent="0.3">
      <c r="A20" t="s">
        <v>1</v>
      </c>
      <c r="B20" s="2">
        <v>45772</v>
      </c>
      <c r="C20" s="1">
        <v>0.58748842592592598</v>
      </c>
      <c r="D20">
        <v>1</v>
      </c>
    </row>
    <row r="21" spans="1:4" x14ac:dyDescent="0.3">
      <c r="A21" t="s">
        <v>40</v>
      </c>
      <c r="B21" s="2">
        <v>45772</v>
      </c>
      <c r="C21" s="1">
        <v>0.58988425925925925</v>
      </c>
      <c r="D21">
        <v>10</v>
      </c>
    </row>
    <row r="22" spans="1:4" x14ac:dyDescent="0.3">
      <c r="A22" t="s">
        <v>40</v>
      </c>
      <c r="B22" s="2">
        <v>45772</v>
      </c>
      <c r="C22" s="1">
        <v>0.59400462962962963</v>
      </c>
      <c r="D22">
        <v>10</v>
      </c>
    </row>
    <row r="23" spans="1:4" x14ac:dyDescent="0.3">
      <c r="A23" t="s">
        <v>40</v>
      </c>
      <c r="B23" s="2">
        <v>45772</v>
      </c>
      <c r="C23" s="1">
        <v>0.59744212962962961</v>
      </c>
      <c r="D23">
        <v>10</v>
      </c>
    </row>
    <row r="24" spans="1:4" x14ac:dyDescent="0.3">
      <c r="A24" t="s">
        <v>40</v>
      </c>
      <c r="B24" s="2">
        <v>45772</v>
      </c>
      <c r="C24" s="1">
        <v>0.59753472222222215</v>
      </c>
      <c r="D24">
        <v>11</v>
      </c>
    </row>
    <row r="25" spans="1:4" x14ac:dyDescent="0.3">
      <c r="A25" t="s">
        <v>1</v>
      </c>
      <c r="B25" s="2">
        <v>45772</v>
      </c>
      <c r="C25" s="1">
        <v>0.60881944444444447</v>
      </c>
      <c r="D25">
        <v>9</v>
      </c>
    </row>
    <row r="26" spans="1:4" x14ac:dyDescent="0.3">
      <c r="A26" t="s">
        <v>3</v>
      </c>
      <c r="B26" s="2">
        <v>45775</v>
      </c>
      <c r="C26" s="1">
        <v>0.50296296296296295</v>
      </c>
      <c r="D26">
        <v>1</v>
      </c>
    </row>
    <row r="27" spans="1:4" x14ac:dyDescent="0.3">
      <c r="A27" t="s">
        <v>3</v>
      </c>
      <c r="B27" s="2">
        <v>45775</v>
      </c>
      <c r="C27" s="1">
        <v>0.50381944444444449</v>
      </c>
      <c r="D27">
        <v>1</v>
      </c>
    </row>
    <row r="28" spans="1:4" x14ac:dyDescent="0.3">
      <c r="A28" t="s">
        <v>3</v>
      </c>
      <c r="B28" s="2">
        <v>45775</v>
      </c>
      <c r="C28" s="1">
        <v>0.50453703703703701</v>
      </c>
      <c r="D28">
        <v>1</v>
      </c>
    </row>
    <row r="29" spans="1:4" x14ac:dyDescent="0.3">
      <c r="A29" t="s">
        <v>1</v>
      </c>
      <c r="B29" s="2">
        <v>45775</v>
      </c>
      <c r="C29" s="1">
        <v>0.51033564814814814</v>
      </c>
      <c r="D29">
        <v>1</v>
      </c>
    </row>
    <row r="30" spans="1:4" x14ac:dyDescent="0.3">
      <c r="A30" t="s">
        <v>1</v>
      </c>
      <c r="B30" s="2">
        <v>45775</v>
      </c>
      <c r="C30" s="1">
        <v>0.51261574074074068</v>
      </c>
      <c r="D30">
        <v>1</v>
      </c>
    </row>
    <row r="31" spans="1:4" x14ac:dyDescent="0.3">
      <c r="A31" t="s">
        <v>54</v>
      </c>
      <c r="B31" s="2">
        <v>45775</v>
      </c>
      <c r="C31" s="1">
        <v>0.58268518518518519</v>
      </c>
      <c r="D31">
        <v>2</v>
      </c>
    </row>
    <row r="32" spans="1:4" x14ac:dyDescent="0.3">
      <c r="A32" t="s">
        <v>53</v>
      </c>
      <c r="B32" s="2">
        <v>45777</v>
      </c>
      <c r="C32" s="1">
        <v>0.48358796296296297</v>
      </c>
      <c r="D32">
        <v>4</v>
      </c>
    </row>
    <row r="33" spans="1:4" x14ac:dyDescent="0.3">
      <c r="A33" t="s">
        <v>53</v>
      </c>
      <c r="B33" s="2">
        <v>45777</v>
      </c>
      <c r="C33" s="1">
        <v>0.48525462962962962</v>
      </c>
      <c r="D33">
        <v>4</v>
      </c>
    </row>
    <row r="34" spans="1:4" x14ac:dyDescent="0.3">
      <c r="A34" t="s">
        <v>53</v>
      </c>
      <c r="B34" s="2">
        <v>45777</v>
      </c>
      <c r="C34" s="1">
        <v>0.48788194444444444</v>
      </c>
      <c r="D34">
        <v>4</v>
      </c>
    </row>
    <row r="35" spans="1:4" x14ac:dyDescent="0.3">
      <c r="A35" t="s">
        <v>53</v>
      </c>
      <c r="B35" s="2">
        <v>45777</v>
      </c>
      <c r="C35" s="1">
        <v>0.48846064814814816</v>
      </c>
      <c r="D35">
        <v>4</v>
      </c>
    </row>
    <row r="36" spans="1:4" x14ac:dyDescent="0.3">
      <c r="A36" t="s">
        <v>53</v>
      </c>
      <c r="B36" s="2">
        <v>45777</v>
      </c>
      <c r="C36" s="1">
        <v>0.55715277777777772</v>
      </c>
      <c r="D36">
        <v>4</v>
      </c>
    </row>
    <row r="37" spans="1:4" x14ac:dyDescent="0.3">
      <c r="A37" t="s">
        <v>53</v>
      </c>
      <c r="B37" s="2">
        <v>45777</v>
      </c>
      <c r="C37" s="1">
        <v>0.57255787037037031</v>
      </c>
      <c r="D37">
        <v>4</v>
      </c>
    </row>
    <row r="38" spans="1:4" x14ac:dyDescent="0.3">
      <c r="A38" t="s">
        <v>39</v>
      </c>
      <c r="B38" s="2">
        <v>45777</v>
      </c>
      <c r="C38" s="1">
        <v>0.65968749999999998</v>
      </c>
      <c r="D38">
        <v>5</v>
      </c>
    </row>
    <row r="39" spans="1:4" x14ac:dyDescent="0.3">
      <c r="A39" t="s">
        <v>40</v>
      </c>
      <c r="B39" s="2">
        <v>45778</v>
      </c>
      <c r="C39" s="1">
        <v>0.36962962962962959</v>
      </c>
      <c r="D39">
        <v>20</v>
      </c>
    </row>
    <row r="40" spans="1:4" x14ac:dyDescent="0.3">
      <c r="A40" t="s">
        <v>56</v>
      </c>
      <c r="B40" s="2">
        <v>45778</v>
      </c>
      <c r="C40" s="1">
        <v>0.47744212962962962</v>
      </c>
      <c r="D40">
        <v>9</v>
      </c>
    </row>
    <row r="41" spans="1:4" x14ac:dyDescent="0.3">
      <c r="A41" t="s">
        <v>56</v>
      </c>
      <c r="B41" s="2">
        <v>45778</v>
      </c>
      <c r="C41" s="1">
        <v>0.56304398148148149</v>
      </c>
      <c r="D41">
        <v>9</v>
      </c>
    </row>
    <row r="42" spans="1:4" x14ac:dyDescent="0.3">
      <c r="A42" t="s">
        <v>56</v>
      </c>
      <c r="B42" s="2">
        <v>45778</v>
      </c>
      <c r="C42" s="1">
        <v>0.56372685185185178</v>
      </c>
      <c r="D42">
        <v>9</v>
      </c>
    </row>
    <row r="43" spans="1:4" x14ac:dyDescent="0.3">
      <c r="A43" t="s">
        <v>56</v>
      </c>
      <c r="B43" s="2">
        <v>45778</v>
      </c>
      <c r="C43" s="1">
        <v>0.57024305555555554</v>
      </c>
      <c r="D43">
        <v>9</v>
      </c>
    </row>
    <row r="44" spans="1:4" x14ac:dyDescent="0.3">
      <c r="A44" t="s">
        <v>56</v>
      </c>
      <c r="B44" s="2">
        <v>45778</v>
      </c>
      <c r="C44" s="1">
        <v>0.57643518518518522</v>
      </c>
      <c r="D44">
        <v>9</v>
      </c>
    </row>
    <row r="45" spans="1:4" x14ac:dyDescent="0.3">
      <c r="A45" t="s">
        <v>56</v>
      </c>
      <c r="B45" s="2">
        <v>45778</v>
      </c>
      <c r="C45" s="1">
        <v>0.58248842592592587</v>
      </c>
      <c r="D45">
        <v>9</v>
      </c>
    </row>
    <row r="46" spans="1:4" x14ac:dyDescent="0.3">
      <c r="A46" t="s">
        <v>56</v>
      </c>
      <c r="B46" s="2">
        <v>45778</v>
      </c>
      <c r="C46" s="1">
        <v>0.5898958333333334</v>
      </c>
      <c r="D46">
        <v>9</v>
      </c>
    </row>
    <row r="47" spans="1:4" x14ac:dyDescent="0.3">
      <c r="A47" t="s">
        <v>56</v>
      </c>
      <c r="B47" s="2">
        <v>45778</v>
      </c>
      <c r="C47" s="1">
        <v>0.59619212962962964</v>
      </c>
      <c r="D47">
        <v>9</v>
      </c>
    </row>
    <row r="48" spans="1:4" x14ac:dyDescent="0.3">
      <c r="A48" t="s">
        <v>39</v>
      </c>
      <c r="B48" s="2">
        <v>45778</v>
      </c>
      <c r="C48" s="1">
        <v>0.6476736111111111</v>
      </c>
      <c r="D48">
        <v>3</v>
      </c>
    </row>
    <row r="49" spans="1:4" x14ac:dyDescent="0.3">
      <c r="A49" t="s">
        <v>40</v>
      </c>
      <c r="B49" s="2">
        <v>45779</v>
      </c>
      <c r="C49" s="1">
        <v>0.54996527777777782</v>
      </c>
      <c r="D49">
        <v>10</v>
      </c>
    </row>
    <row r="50" spans="1:4" x14ac:dyDescent="0.3">
      <c r="A50" t="s">
        <v>56</v>
      </c>
      <c r="B50" s="2">
        <v>45783</v>
      </c>
      <c r="C50" s="1">
        <v>0.34159722222222227</v>
      </c>
      <c r="D50">
        <v>9</v>
      </c>
    </row>
    <row r="51" spans="1:4" x14ac:dyDescent="0.3">
      <c r="A51" t="s">
        <v>56</v>
      </c>
      <c r="B51" s="2">
        <v>45783</v>
      </c>
      <c r="C51" s="1">
        <v>0.34856481481481483</v>
      </c>
      <c r="D51">
        <v>9</v>
      </c>
    </row>
    <row r="52" spans="1:4" x14ac:dyDescent="0.3">
      <c r="A52" t="s">
        <v>56</v>
      </c>
      <c r="B52" s="2">
        <v>45783</v>
      </c>
      <c r="C52" s="1">
        <v>0.35484953703703703</v>
      </c>
      <c r="D52">
        <v>9</v>
      </c>
    </row>
    <row r="53" spans="1:4" x14ac:dyDescent="0.3">
      <c r="A53" t="s">
        <v>56</v>
      </c>
      <c r="B53" s="2">
        <v>45783</v>
      </c>
      <c r="C53" s="1">
        <v>0.36084490740740738</v>
      </c>
      <c r="D53">
        <v>9</v>
      </c>
    </row>
    <row r="54" spans="1:4" x14ac:dyDescent="0.3">
      <c r="A54" t="s">
        <v>56</v>
      </c>
      <c r="B54" s="2">
        <v>45783</v>
      </c>
      <c r="C54" s="1">
        <v>0.36679398148148151</v>
      </c>
      <c r="D54">
        <v>9</v>
      </c>
    </row>
    <row r="55" spans="1:4" x14ac:dyDescent="0.3">
      <c r="A55" t="s">
        <v>56</v>
      </c>
      <c r="B55" s="2">
        <v>45783</v>
      </c>
      <c r="C55" s="1">
        <v>0.37275462962962963</v>
      </c>
      <c r="D55">
        <v>9</v>
      </c>
    </row>
    <row r="56" spans="1:4" x14ac:dyDescent="0.3">
      <c r="A56" t="s">
        <v>39</v>
      </c>
      <c r="B56" s="2">
        <v>45783</v>
      </c>
      <c r="C56" s="1">
        <v>0.69981481481481478</v>
      </c>
      <c r="D56">
        <v>3</v>
      </c>
    </row>
    <row r="57" spans="1:4" x14ac:dyDescent="0.3">
      <c r="A57" t="s">
        <v>40</v>
      </c>
      <c r="B57" s="2">
        <v>45784</v>
      </c>
      <c r="C57" s="1">
        <v>0.48026620370370371</v>
      </c>
      <c r="D57">
        <v>10</v>
      </c>
    </row>
    <row r="58" spans="1:4" x14ac:dyDescent="0.3">
      <c r="A58" t="s">
        <v>39</v>
      </c>
      <c r="B58" s="2">
        <v>45784</v>
      </c>
      <c r="C58" s="1">
        <v>0.72061342592592592</v>
      </c>
      <c r="D58">
        <v>4</v>
      </c>
    </row>
    <row r="59" spans="1:4" x14ac:dyDescent="0.3">
      <c r="A59" t="s">
        <v>39</v>
      </c>
      <c r="B59" s="2">
        <v>45785</v>
      </c>
      <c r="C59" s="1">
        <v>0.72130787037037036</v>
      </c>
      <c r="D59">
        <v>8</v>
      </c>
    </row>
    <row r="60" spans="1:4" x14ac:dyDescent="0.3">
      <c r="A60" t="s">
        <v>56</v>
      </c>
      <c r="B60" s="2">
        <v>45790</v>
      </c>
      <c r="C60" s="1">
        <v>0.4812731481481482</v>
      </c>
      <c r="D60">
        <v>8</v>
      </c>
    </row>
    <row r="61" spans="1:4" x14ac:dyDescent="0.3">
      <c r="A61" t="s">
        <v>56</v>
      </c>
      <c r="B61" s="2">
        <v>45790</v>
      </c>
      <c r="C61" s="1">
        <v>0.48746527777777776</v>
      </c>
      <c r="D61">
        <v>8</v>
      </c>
    </row>
    <row r="62" spans="1:4" x14ac:dyDescent="0.3">
      <c r="A62" t="s">
        <v>39</v>
      </c>
      <c r="B62" s="2">
        <v>45790</v>
      </c>
      <c r="C62" s="1">
        <v>0.72024305555555557</v>
      </c>
      <c r="D62">
        <v>4</v>
      </c>
    </row>
    <row r="63" spans="1:4" x14ac:dyDescent="0.3">
      <c r="A63" t="s">
        <v>53</v>
      </c>
      <c r="B63" s="2">
        <v>45790</v>
      </c>
      <c r="C63" s="1">
        <v>0.74115740740740732</v>
      </c>
      <c r="D63">
        <v>6</v>
      </c>
    </row>
    <row r="64" spans="1:4" x14ac:dyDescent="0.3">
      <c r="A64" t="s">
        <v>53</v>
      </c>
      <c r="B64" s="2">
        <v>45790</v>
      </c>
      <c r="C64" s="1">
        <v>0.74253472222222217</v>
      </c>
      <c r="D64">
        <v>6</v>
      </c>
    </row>
    <row r="65" spans="1:4" x14ac:dyDescent="0.3">
      <c r="A65" t="s">
        <v>53</v>
      </c>
      <c r="B65" s="2">
        <v>45790</v>
      </c>
      <c r="C65" s="1">
        <v>0.74339120370370371</v>
      </c>
      <c r="D65">
        <v>6</v>
      </c>
    </row>
    <row r="66" spans="1:4" x14ac:dyDescent="0.3">
      <c r="A66" t="s">
        <v>53</v>
      </c>
      <c r="B66" s="2">
        <v>45791</v>
      </c>
      <c r="C66" s="1">
        <v>0.47037037037037038</v>
      </c>
      <c r="D66">
        <v>9</v>
      </c>
    </row>
    <row r="67" spans="1:4" x14ac:dyDescent="0.3">
      <c r="A67" t="s">
        <v>40</v>
      </c>
      <c r="B67" s="2">
        <v>45791</v>
      </c>
      <c r="C67" s="1">
        <v>0.48625000000000002</v>
      </c>
      <c r="D67">
        <v>5</v>
      </c>
    </row>
    <row r="68" spans="1:4" x14ac:dyDescent="0.3">
      <c r="A68" t="s">
        <v>53</v>
      </c>
      <c r="B68" s="2">
        <v>45791</v>
      </c>
      <c r="C68" s="1">
        <v>0.59339120370370368</v>
      </c>
      <c r="D68">
        <v>9</v>
      </c>
    </row>
    <row r="69" spans="1:4" x14ac:dyDescent="0.3">
      <c r="A69" t="s">
        <v>53</v>
      </c>
      <c r="B69" s="2">
        <v>45791</v>
      </c>
      <c r="C69" s="1">
        <v>0.60387731481481477</v>
      </c>
      <c r="D69">
        <v>9</v>
      </c>
    </row>
    <row r="70" spans="1:4" x14ac:dyDescent="0.3">
      <c r="A70" t="s">
        <v>53</v>
      </c>
      <c r="B70" s="2">
        <v>45791</v>
      </c>
      <c r="C70" s="1">
        <v>0.60567129629629635</v>
      </c>
      <c r="D70">
        <v>9</v>
      </c>
    </row>
    <row r="71" spans="1:4" x14ac:dyDescent="0.3">
      <c r="A71" t="s">
        <v>53</v>
      </c>
      <c r="B71" s="2">
        <v>45791</v>
      </c>
      <c r="C71" s="1">
        <v>0.61121527777777784</v>
      </c>
      <c r="D71">
        <v>9</v>
      </c>
    </row>
    <row r="72" spans="1:4" x14ac:dyDescent="0.3">
      <c r="A72" t="s">
        <v>53</v>
      </c>
      <c r="B72" s="2">
        <v>45791</v>
      </c>
      <c r="C72" s="1">
        <v>0.61199074074074067</v>
      </c>
      <c r="D72">
        <v>9</v>
      </c>
    </row>
    <row r="73" spans="1:4" x14ac:dyDescent="0.3">
      <c r="A73" t="s">
        <v>53</v>
      </c>
      <c r="B73" s="2">
        <v>45791</v>
      </c>
      <c r="C73" s="1">
        <v>0.61473379629629632</v>
      </c>
      <c r="D73">
        <v>9</v>
      </c>
    </row>
    <row r="74" spans="1:4" x14ac:dyDescent="0.3">
      <c r="A74" t="s">
        <v>53</v>
      </c>
      <c r="B74" s="2">
        <v>45791</v>
      </c>
      <c r="C74" s="1">
        <v>0.64542824074074068</v>
      </c>
      <c r="D74">
        <v>9</v>
      </c>
    </row>
    <row r="75" spans="1:4" x14ac:dyDescent="0.3">
      <c r="A75" t="s">
        <v>53</v>
      </c>
      <c r="B75" s="2">
        <v>45791</v>
      </c>
      <c r="C75" s="1">
        <v>0.65075231481481477</v>
      </c>
      <c r="D75">
        <v>9</v>
      </c>
    </row>
    <row r="76" spans="1:4" x14ac:dyDescent="0.3">
      <c r="A76" t="s">
        <v>53</v>
      </c>
      <c r="B76" s="2">
        <v>45791</v>
      </c>
      <c r="C76" s="1">
        <v>0.67975694444444434</v>
      </c>
      <c r="D76">
        <v>10</v>
      </c>
    </row>
    <row r="77" spans="1:4" x14ac:dyDescent="0.3">
      <c r="A77" t="s">
        <v>39</v>
      </c>
      <c r="B77" s="2">
        <v>45791</v>
      </c>
      <c r="C77" s="1">
        <v>0.69135416666666671</v>
      </c>
      <c r="D77">
        <v>4</v>
      </c>
    </row>
    <row r="78" spans="1:4" x14ac:dyDescent="0.3">
      <c r="A78" t="s">
        <v>53</v>
      </c>
      <c r="B78" s="2">
        <v>45791</v>
      </c>
      <c r="C78" s="1">
        <v>0.73103009259259266</v>
      </c>
      <c r="D78">
        <v>10</v>
      </c>
    </row>
    <row r="79" spans="1:4" x14ac:dyDescent="0.3">
      <c r="A79" t="s">
        <v>56</v>
      </c>
      <c r="B79" s="2">
        <v>45792</v>
      </c>
      <c r="C79" s="1">
        <v>0.45399305555555558</v>
      </c>
      <c r="D79">
        <v>9</v>
      </c>
    </row>
    <row r="80" spans="1:4" x14ac:dyDescent="0.3">
      <c r="A80" t="s">
        <v>53</v>
      </c>
      <c r="B80" s="2">
        <v>45792</v>
      </c>
      <c r="C80" s="1">
        <v>0.71611111111111114</v>
      </c>
      <c r="D80">
        <v>5</v>
      </c>
    </row>
    <row r="81" spans="1:4" x14ac:dyDescent="0.3">
      <c r="A81" t="s">
        <v>53</v>
      </c>
      <c r="B81" s="2">
        <v>45792</v>
      </c>
      <c r="C81" s="1">
        <v>0.73988425925925927</v>
      </c>
      <c r="D81">
        <v>9</v>
      </c>
    </row>
    <row r="82" spans="1:4" x14ac:dyDescent="0.3">
      <c r="A82" t="s">
        <v>56</v>
      </c>
      <c r="B82" s="2">
        <v>45793</v>
      </c>
      <c r="C82" s="1">
        <v>0.39078703703703704</v>
      </c>
      <c r="D82">
        <v>9</v>
      </c>
    </row>
    <row r="83" spans="1:4" x14ac:dyDescent="0.3">
      <c r="A83" t="s">
        <v>53</v>
      </c>
      <c r="B83" s="2">
        <v>45793</v>
      </c>
      <c r="C83" s="1">
        <v>0.39561342592592591</v>
      </c>
      <c r="D83">
        <v>9</v>
      </c>
    </row>
    <row r="84" spans="1:4" x14ac:dyDescent="0.3">
      <c r="A84" t="s">
        <v>53</v>
      </c>
      <c r="B84" s="2">
        <v>45798</v>
      </c>
      <c r="C84" s="1">
        <v>0.59964120370370366</v>
      </c>
      <c r="D84">
        <v>9</v>
      </c>
    </row>
    <row r="85" spans="1:4" x14ac:dyDescent="0.3">
      <c r="A85" t="s">
        <v>53</v>
      </c>
      <c r="B85" s="2">
        <v>45798</v>
      </c>
      <c r="C85" s="1">
        <v>0.60743055555555558</v>
      </c>
      <c r="D85">
        <v>9</v>
      </c>
    </row>
    <row r="86" spans="1:4" x14ac:dyDescent="0.3">
      <c r="A86" t="s">
        <v>53</v>
      </c>
      <c r="B86" s="2">
        <v>45798</v>
      </c>
      <c r="C86" s="1">
        <v>0.6113425925925926</v>
      </c>
      <c r="D86">
        <v>7</v>
      </c>
    </row>
    <row r="87" spans="1:4" x14ac:dyDescent="0.3">
      <c r="A87" t="s">
        <v>53</v>
      </c>
      <c r="B87" s="2">
        <v>45798</v>
      </c>
      <c r="C87" s="1">
        <v>0.62780092592592596</v>
      </c>
      <c r="D87">
        <v>9</v>
      </c>
    </row>
    <row r="88" spans="1:4" x14ac:dyDescent="0.3">
      <c r="A88" t="s">
        <v>53</v>
      </c>
      <c r="B88" s="2">
        <v>45798</v>
      </c>
      <c r="C88" s="1">
        <v>0.62913194444444442</v>
      </c>
      <c r="D88">
        <v>9</v>
      </c>
    </row>
    <row r="89" spans="1:4" x14ac:dyDescent="0.3">
      <c r="A89" t="s">
        <v>53</v>
      </c>
      <c r="B89" s="2">
        <v>45798</v>
      </c>
      <c r="C89" s="1">
        <v>0.65527777777777774</v>
      </c>
      <c r="D89">
        <v>9</v>
      </c>
    </row>
    <row r="90" spans="1:4" x14ac:dyDescent="0.3">
      <c r="A90" t="s">
        <v>53</v>
      </c>
      <c r="B90" s="2">
        <v>45798</v>
      </c>
      <c r="C90" s="1">
        <v>0.6642824074074074</v>
      </c>
      <c r="D90">
        <v>9</v>
      </c>
    </row>
    <row r="91" spans="1:4" x14ac:dyDescent="0.3">
      <c r="A91" t="s">
        <v>53</v>
      </c>
      <c r="B91" s="2">
        <v>45798</v>
      </c>
      <c r="C91" s="1">
        <v>0.66484953703703698</v>
      </c>
      <c r="D91">
        <v>9</v>
      </c>
    </row>
    <row r="92" spans="1:4" x14ac:dyDescent="0.3">
      <c r="A92" t="s">
        <v>39</v>
      </c>
      <c r="B92" s="2">
        <v>45798</v>
      </c>
      <c r="C92" s="1">
        <v>0.67126157407407405</v>
      </c>
      <c r="D92">
        <v>5</v>
      </c>
    </row>
    <row r="93" spans="1:4" x14ac:dyDescent="0.3">
      <c r="A93" t="s">
        <v>53</v>
      </c>
      <c r="B93" s="2">
        <v>45798</v>
      </c>
      <c r="C93" s="1">
        <v>0.67658564814814814</v>
      </c>
      <c r="D93">
        <v>3</v>
      </c>
    </row>
    <row r="94" spans="1:4" x14ac:dyDescent="0.3">
      <c r="A94" t="s">
        <v>53</v>
      </c>
      <c r="B94" s="2">
        <v>45799</v>
      </c>
      <c r="C94" s="1">
        <v>0.45402777777777775</v>
      </c>
      <c r="D94">
        <v>5</v>
      </c>
    </row>
    <row r="95" spans="1:4" x14ac:dyDescent="0.3">
      <c r="A95" t="s">
        <v>56</v>
      </c>
      <c r="B95" s="2">
        <v>45799</v>
      </c>
      <c r="C95" s="1">
        <v>0.47614583333333332</v>
      </c>
      <c r="D95">
        <v>9</v>
      </c>
    </row>
    <row r="96" spans="1:4" x14ac:dyDescent="0.3">
      <c r="A96" t="s">
        <v>53</v>
      </c>
      <c r="B96" s="2">
        <v>45799</v>
      </c>
      <c r="C96" s="1">
        <v>0.49160879629629628</v>
      </c>
      <c r="D96">
        <v>10</v>
      </c>
    </row>
    <row r="97" spans="1:4" x14ac:dyDescent="0.3">
      <c r="A97" t="s">
        <v>53</v>
      </c>
      <c r="B97" s="2">
        <v>45799</v>
      </c>
      <c r="C97" s="1">
        <v>0.49265046296296294</v>
      </c>
      <c r="D97">
        <v>10</v>
      </c>
    </row>
    <row r="98" spans="1:4" x14ac:dyDescent="0.3">
      <c r="A98" t="s">
        <v>53</v>
      </c>
      <c r="B98" s="2">
        <v>45799</v>
      </c>
      <c r="C98" s="1">
        <v>0.54718750000000005</v>
      </c>
      <c r="D98">
        <v>10</v>
      </c>
    </row>
    <row r="99" spans="1:4" x14ac:dyDescent="0.3">
      <c r="A99" t="s">
        <v>53</v>
      </c>
      <c r="B99" s="2">
        <v>45799</v>
      </c>
      <c r="C99" s="1">
        <v>0.55082175925925925</v>
      </c>
      <c r="D99">
        <v>10</v>
      </c>
    </row>
    <row r="100" spans="1:4" x14ac:dyDescent="0.3">
      <c r="A100" t="s">
        <v>53</v>
      </c>
      <c r="B100" s="2">
        <v>45799</v>
      </c>
      <c r="C100" s="1">
        <v>0.55112268518518526</v>
      </c>
      <c r="D100">
        <v>3</v>
      </c>
    </row>
    <row r="101" spans="1:4" x14ac:dyDescent="0.3">
      <c r="A101" t="s">
        <v>2</v>
      </c>
      <c r="B101" s="2">
        <v>45799</v>
      </c>
      <c r="C101" s="1">
        <v>0.61217592592592596</v>
      </c>
      <c r="D101">
        <v>8</v>
      </c>
    </row>
    <row r="102" spans="1:4" x14ac:dyDescent="0.3">
      <c r="A102" t="s">
        <v>56</v>
      </c>
      <c r="B102" s="2">
        <v>45799</v>
      </c>
      <c r="C102" s="1">
        <v>0.65982638888888889</v>
      </c>
      <c r="D102">
        <v>6</v>
      </c>
    </row>
    <row r="103" spans="1:4" x14ac:dyDescent="0.3">
      <c r="A103" t="s">
        <v>56</v>
      </c>
      <c r="B103" s="2">
        <v>45799</v>
      </c>
      <c r="C103" s="1">
        <v>0.66043981481481484</v>
      </c>
      <c r="D103">
        <v>6</v>
      </c>
    </row>
    <row r="104" spans="1:4" x14ac:dyDescent="0.3">
      <c r="A104" t="s">
        <v>56</v>
      </c>
      <c r="B104" s="2">
        <v>45799</v>
      </c>
      <c r="C104" s="1">
        <v>0.66146990740740741</v>
      </c>
      <c r="D104">
        <v>6</v>
      </c>
    </row>
    <row r="105" spans="1:4" x14ac:dyDescent="0.3">
      <c r="A105" t="s">
        <v>56</v>
      </c>
      <c r="B105" s="2">
        <v>45799</v>
      </c>
      <c r="C105" s="1">
        <v>0.66530092592592593</v>
      </c>
      <c r="D105">
        <v>6</v>
      </c>
    </row>
    <row r="106" spans="1:4" x14ac:dyDescent="0.3">
      <c r="A106" t="s">
        <v>2</v>
      </c>
      <c r="B106" s="2">
        <v>45799</v>
      </c>
      <c r="C106" s="1">
        <v>0.70197916666666671</v>
      </c>
      <c r="D106">
        <v>9</v>
      </c>
    </row>
    <row r="107" spans="1:4" x14ac:dyDescent="0.3">
      <c r="A107" t="s">
        <v>2</v>
      </c>
      <c r="B107" s="2">
        <v>45799</v>
      </c>
      <c r="C107" s="1">
        <v>0.70814814814814808</v>
      </c>
      <c r="D107">
        <v>9</v>
      </c>
    </row>
    <row r="108" spans="1:4" x14ac:dyDescent="0.3">
      <c r="A108" t="s">
        <v>56</v>
      </c>
      <c r="B108" s="2">
        <v>45800</v>
      </c>
      <c r="C108" s="1">
        <v>0.33746527777777779</v>
      </c>
      <c r="D108">
        <v>10</v>
      </c>
    </row>
    <row r="109" spans="1:4" x14ac:dyDescent="0.3">
      <c r="A109" t="s">
        <v>56</v>
      </c>
      <c r="B109" s="2">
        <v>45803</v>
      </c>
      <c r="C109" s="1">
        <v>0.45736111111111111</v>
      </c>
      <c r="D109">
        <v>8</v>
      </c>
    </row>
    <row r="110" spans="1:4" x14ac:dyDescent="0.3">
      <c r="A110" t="s">
        <v>39</v>
      </c>
      <c r="B110" s="2">
        <v>45803</v>
      </c>
      <c r="C110" s="1">
        <v>0.47759259259259257</v>
      </c>
      <c r="D110">
        <v>10</v>
      </c>
    </row>
    <row r="111" spans="1:4" x14ac:dyDescent="0.3">
      <c r="A111" t="s">
        <v>39</v>
      </c>
      <c r="B111" s="2">
        <v>45804</v>
      </c>
      <c r="C111" s="1">
        <v>0.68865740740740744</v>
      </c>
      <c r="D111">
        <v>4</v>
      </c>
    </row>
    <row r="112" spans="1:4" x14ac:dyDescent="0.3">
      <c r="A112" t="s">
        <v>2</v>
      </c>
      <c r="B112" s="2">
        <v>45805</v>
      </c>
      <c r="C112" s="1">
        <v>0.47791666666666671</v>
      </c>
      <c r="D112">
        <v>12</v>
      </c>
    </row>
    <row r="113" spans="1:4" x14ac:dyDescent="0.3">
      <c r="A113" t="s">
        <v>39</v>
      </c>
      <c r="B113" s="2">
        <v>45805</v>
      </c>
      <c r="C113" s="1">
        <v>0.67246527777777787</v>
      </c>
      <c r="D113">
        <v>10</v>
      </c>
    </row>
    <row r="114" spans="1:4" x14ac:dyDescent="0.3">
      <c r="A114" t="s">
        <v>2</v>
      </c>
      <c r="B114" s="2">
        <v>45805</v>
      </c>
      <c r="C114" s="1">
        <v>0.72145833333333342</v>
      </c>
      <c r="D114">
        <v>10</v>
      </c>
    </row>
    <row r="115" spans="1:4" x14ac:dyDescent="0.3">
      <c r="A115" t="s">
        <v>16</v>
      </c>
      <c r="B115" s="2">
        <v>45806</v>
      </c>
      <c r="C115" s="1">
        <v>0.50590277777777781</v>
      </c>
      <c r="D115">
        <v>10</v>
      </c>
    </row>
    <row r="116" spans="1:4" x14ac:dyDescent="0.3">
      <c r="A116" t="s">
        <v>39</v>
      </c>
      <c r="B116" s="2">
        <v>45806</v>
      </c>
      <c r="C116" s="1">
        <v>0.66442129629629632</v>
      </c>
      <c r="D116">
        <v>10</v>
      </c>
    </row>
    <row r="117" spans="1:4" x14ac:dyDescent="0.3">
      <c r="A117" t="s">
        <v>16</v>
      </c>
      <c r="B117" s="2">
        <v>45806</v>
      </c>
      <c r="C117" s="1">
        <v>0.67013888888888884</v>
      </c>
      <c r="D117">
        <v>10</v>
      </c>
    </row>
    <row r="118" spans="1:4" x14ac:dyDescent="0.3">
      <c r="A118" t="s">
        <v>2</v>
      </c>
      <c r="B118" s="2">
        <v>45806</v>
      </c>
      <c r="C118" s="1">
        <v>0.70070601851851855</v>
      </c>
      <c r="D118">
        <v>10</v>
      </c>
    </row>
    <row r="119" spans="1:4" x14ac:dyDescent="0.3">
      <c r="A119" t="s">
        <v>56</v>
      </c>
      <c r="B119" s="2">
        <v>45807</v>
      </c>
      <c r="C119" s="1">
        <v>0.39025462962962965</v>
      </c>
      <c r="D119">
        <v>4</v>
      </c>
    </row>
    <row r="120" spans="1:4" x14ac:dyDescent="0.3">
      <c r="A120" t="s">
        <v>56</v>
      </c>
      <c r="B120" s="2">
        <v>45807</v>
      </c>
      <c r="C120" s="1">
        <v>0.39329861111111114</v>
      </c>
      <c r="D120">
        <v>4</v>
      </c>
    </row>
    <row r="121" spans="1:4" x14ac:dyDescent="0.3">
      <c r="A121" t="s">
        <v>56</v>
      </c>
      <c r="B121" s="2">
        <v>45807</v>
      </c>
      <c r="C121" s="1">
        <v>0.4516087962962963</v>
      </c>
      <c r="D121">
        <v>9</v>
      </c>
    </row>
    <row r="122" spans="1:4" x14ac:dyDescent="0.3">
      <c r="A122" t="s">
        <v>56</v>
      </c>
      <c r="B122" s="2">
        <v>45807</v>
      </c>
      <c r="C122" s="1">
        <v>0.56567129629629631</v>
      </c>
      <c r="D122">
        <v>9</v>
      </c>
    </row>
    <row r="123" spans="1:4" x14ac:dyDescent="0.3">
      <c r="A123" t="s">
        <v>56</v>
      </c>
      <c r="B123" s="2">
        <v>45813</v>
      </c>
      <c r="C123" s="1">
        <v>0.4773958333333333</v>
      </c>
      <c r="D123">
        <v>9</v>
      </c>
    </row>
    <row r="124" spans="1:4" x14ac:dyDescent="0.3">
      <c r="A124" t="s">
        <v>56</v>
      </c>
      <c r="B124" s="2">
        <v>45813</v>
      </c>
      <c r="C124" s="1">
        <v>0.47865740740740742</v>
      </c>
      <c r="D124">
        <v>9</v>
      </c>
    </row>
    <row r="125" spans="1:4" x14ac:dyDescent="0.3">
      <c r="A125" t="s">
        <v>56</v>
      </c>
      <c r="B125" s="2">
        <v>45813</v>
      </c>
      <c r="C125" s="1">
        <v>0.48774305555555553</v>
      </c>
      <c r="D125">
        <v>9</v>
      </c>
    </row>
    <row r="126" spans="1:4" x14ac:dyDescent="0.3">
      <c r="A126" t="s">
        <v>56</v>
      </c>
      <c r="B126" s="2">
        <v>45813</v>
      </c>
      <c r="C126" s="1">
        <v>0.48853009259259261</v>
      </c>
      <c r="D126">
        <v>1</v>
      </c>
    </row>
    <row r="127" spans="1:4" x14ac:dyDescent="0.3">
      <c r="A127" t="s">
        <v>2</v>
      </c>
      <c r="B127" s="2">
        <v>45813</v>
      </c>
      <c r="C127" s="1">
        <v>0.70671296296296304</v>
      </c>
      <c r="D127">
        <v>10</v>
      </c>
    </row>
    <row r="128" spans="1:4" x14ac:dyDescent="0.3">
      <c r="A128" t="s">
        <v>2</v>
      </c>
      <c r="B128" s="2">
        <v>45813</v>
      </c>
      <c r="C128" s="1">
        <v>0.70770833333333327</v>
      </c>
      <c r="D128">
        <v>10</v>
      </c>
    </row>
    <row r="129" spans="1:4" x14ac:dyDescent="0.3">
      <c r="A129" t="s">
        <v>2</v>
      </c>
      <c r="B129" s="2">
        <v>45813</v>
      </c>
      <c r="C129" s="1">
        <v>0.70815972222222223</v>
      </c>
      <c r="D129">
        <v>10</v>
      </c>
    </row>
    <row r="130" spans="1:4" x14ac:dyDescent="0.3">
      <c r="A130" t="s">
        <v>2</v>
      </c>
      <c r="B130" s="2">
        <v>45813</v>
      </c>
      <c r="C130" s="1">
        <v>0.71084490740740736</v>
      </c>
      <c r="D130">
        <v>10</v>
      </c>
    </row>
    <row r="131" spans="1:4" x14ac:dyDescent="0.3">
      <c r="A131" t="s">
        <v>56</v>
      </c>
      <c r="B131" s="2">
        <v>45814</v>
      </c>
      <c r="C131" s="1">
        <v>0.36166666666666664</v>
      </c>
      <c r="D131">
        <v>9</v>
      </c>
    </row>
    <row r="132" spans="1:4" x14ac:dyDescent="0.3">
      <c r="A132" t="s">
        <v>56</v>
      </c>
      <c r="B132" s="2">
        <v>45814</v>
      </c>
      <c r="C132" s="1">
        <v>0.36966435185185187</v>
      </c>
      <c r="D132">
        <v>9</v>
      </c>
    </row>
    <row r="133" spans="1:4" x14ac:dyDescent="0.3">
      <c r="A133" t="s">
        <v>56</v>
      </c>
      <c r="B133" s="2">
        <v>45814</v>
      </c>
      <c r="C133" s="1">
        <v>0.37555555555555559</v>
      </c>
      <c r="D133">
        <v>9</v>
      </c>
    </row>
    <row r="134" spans="1:4" x14ac:dyDescent="0.3">
      <c r="A134" t="s">
        <v>56</v>
      </c>
      <c r="B134" s="2">
        <v>45814</v>
      </c>
      <c r="C134" s="1">
        <v>0.38325231481481481</v>
      </c>
      <c r="D134">
        <v>9</v>
      </c>
    </row>
    <row r="135" spans="1:4" x14ac:dyDescent="0.3">
      <c r="A135" t="s">
        <v>56</v>
      </c>
      <c r="B135" s="2">
        <v>45814</v>
      </c>
      <c r="C135" s="1">
        <v>0.39002314814814815</v>
      </c>
      <c r="D135">
        <v>9</v>
      </c>
    </row>
    <row r="136" spans="1:4" x14ac:dyDescent="0.3">
      <c r="A136" t="s">
        <v>56</v>
      </c>
      <c r="B136" s="2">
        <v>45814</v>
      </c>
      <c r="C136" s="1">
        <v>0.39596064814814813</v>
      </c>
      <c r="D136">
        <v>9</v>
      </c>
    </row>
    <row r="137" spans="1:4" x14ac:dyDescent="0.3">
      <c r="A137" t="s">
        <v>56</v>
      </c>
      <c r="B137" s="2">
        <v>45814</v>
      </c>
      <c r="C137" s="1">
        <v>0.42516203703703703</v>
      </c>
      <c r="D137">
        <v>9</v>
      </c>
    </row>
    <row r="138" spans="1:4" x14ac:dyDescent="0.3">
      <c r="A138" t="s">
        <v>56</v>
      </c>
      <c r="B138" s="2">
        <v>45814</v>
      </c>
      <c r="C138" s="1">
        <v>0.43106481481481485</v>
      </c>
      <c r="D138">
        <v>9</v>
      </c>
    </row>
    <row r="139" spans="1:4" x14ac:dyDescent="0.3">
      <c r="A139" t="s">
        <v>56</v>
      </c>
      <c r="B139" s="2">
        <v>45814</v>
      </c>
      <c r="C139" s="1">
        <v>0.44016203703703699</v>
      </c>
      <c r="D139">
        <v>9</v>
      </c>
    </row>
    <row r="140" spans="1:4" x14ac:dyDescent="0.3">
      <c r="A140" t="s">
        <v>56</v>
      </c>
      <c r="B140" s="2">
        <v>45814</v>
      </c>
      <c r="C140" s="1">
        <v>0.54633101851851851</v>
      </c>
      <c r="D140">
        <v>9</v>
      </c>
    </row>
    <row r="141" spans="1:4" x14ac:dyDescent="0.3">
      <c r="A141" t="s">
        <v>56</v>
      </c>
      <c r="B141" s="2">
        <v>45814</v>
      </c>
      <c r="C141" s="1">
        <v>0.55219907407407409</v>
      </c>
      <c r="D141">
        <v>9</v>
      </c>
    </row>
    <row r="142" spans="1:4" x14ac:dyDescent="0.3">
      <c r="A142" t="s">
        <v>56</v>
      </c>
      <c r="B142" s="2">
        <v>45814</v>
      </c>
      <c r="C142" s="1">
        <v>0.55806712962962968</v>
      </c>
      <c r="D142">
        <v>9</v>
      </c>
    </row>
    <row r="143" spans="1:4" x14ac:dyDescent="0.3">
      <c r="A143" t="s">
        <v>56</v>
      </c>
      <c r="B143" s="2">
        <v>45819</v>
      </c>
      <c r="C143" s="1">
        <v>0.58652777777777776</v>
      </c>
      <c r="D143">
        <v>10</v>
      </c>
    </row>
    <row r="144" spans="1:4" x14ac:dyDescent="0.3">
      <c r="A144" t="s">
        <v>56</v>
      </c>
      <c r="B144" s="2">
        <v>45820</v>
      </c>
      <c r="C144" s="1">
        <v>0.4990856481481481</v>
      </c>
      <c r="D144">
        <v>10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52C0E-96D7-4936-B182-805704095FFE}">
  <sheetPr codeName="Sheet2">
    <tabColor rgb="FFFF0000"/>
  </sheetPr>
  <dimension ref="A1:X35"/>
  <sheetViews>
    <sheetView tabSelected="1" zoomScaleNormal="100" workbookViewId="0">
      <selection activeCell="J3" sqref="J3"/>
    </sheetView>
  </sheetViews>
  <sheetFormatPr defaultRowHeight="14.4" x14ac:dyDescent="0.3"/>
  <cols>
    <col min="1" max="8" width="10.77734375" customWidth="1"/>
    <col min="9" max="9" width="10.77734375" style="4" customWidth="1"/>
    <col min="10" max="10" width="10.77734375" customWidth="1"/>
    <col min="18" max="18" width="14.109375" bestFit="1" customWidth="1"/>
  </cols>
  <sheetData>
    <row r="1" spans="1:24" x14ac:dyDescent="0.3">
      <c r="B1" t="s">
        <v>4</v>
      </c>
      <c r="C1" t="s">
        <v>12</v>
      </c>
      <c r="D1" t="s">
        <v>9</v>
      </c>
      <c r="E1" t="s">
        <v>10</v>
      </c>
      <c r="F1" t="s">
        <v>11</v>
      </c>
      <c r="G1" s="10" t="s">
        <v>57</v>
      </c>
    </row>
    <row r="2" spans="1:24" x14ac:dyDescent="0.3">
      <c r="A2" t="s">
        <v>13</v>
      </c>
      <c r="B2">
        <f>SUBTOTAL(103,user_count!$A:$A)-1</f>
        <v>200</v>
      </c>
      <c r="C2">
        <f>SUBTOTAL(103,Start_count!$A:$A)-1</f>
        <v>47</v>
      </c>
      <c r="D2">
        <f>SUBTOTAL(103,Open_count!$A:$A)-1</f>
        <v>191</v>
      </c>
      <c r="E2">
        <f>SUBTOTAL(103,Export_count!$A:$A)-1</f>
        <v>143</v>
      </c>
      <c r="F2">
        <f>SUBTOTAL(103,Cycle_count!$A:$A)-1</f>
        <v>2</v>
      </c>
      <c r="G2" s="10">
        <f>SUBTOTAL(103,Sign_count!$A:$A)-1</f>
        <v>143</v>
      </c>
    </row>
    <row r="3" spans="1:24" x14ac:dyDescent="0.3">
      <c r="A3" t="s">
        <v>15</v>
      </c>
      <c r="B3">
        <f>SUBTOTAL(9,user_count!$D:$D)</f>
        <v>0</v>
      </c>
      <c r="C3">
        <f>SUBTOTAL(9,Start_count!$D:$D)</f>
        <v>166</v>
      </c>
      <c r="D3">
        <f>SUBTOTAL(9,Open_count!$D:$D)</f>
        <v>1611</v>
      </c>
      <c r="E3">
        <f>SUBTOTAL(9,Export_count!$D:$D)</f>
        <v>987</v>
      </c>
      <c r="F3">
        <f>SUBTOTAL(9,Cycle_count!$D:$D)</f>
        <v>12</v>
      </c>
      <c r="G3" s="10">
        <f>SUBTOTAL(9,Sign_count!$D:$D)</f>
        <v>1078</v>
      </c>
    </row>
    <row r="5" spans="1:24" x14ac:dyDescent="0.3">
      <c r="C5" s="1"/>
    </row>
    <row r="6" spans="1:24" x14ac:dyDescent="0.3">
      <c r="R6" s="7" t="s">
        <v>42</v>
      </c>
    </row>
    <row r="7" spans="1:24" x14ac:dyDescent="0.3">
      <c r="R7" t="s">
        <v>43</v>
      </c>
      <c r="S7" t="e">
        <f>C2*60+#REF!*80+D2*40+E2*70+F2*10+H2*30+I2*50</f>
        <v>#REF!</v>
      </c>
    </row>
    <row r="8" spans="1:24" x14ac:dyDescent="0.3">
      <c r="D8" s="3"/>
      <c r="R8" t="s">
        <v>44</v>
      </c>
      <c r="S8" t="e">
        <f>C3*1+#REF!*2+D3*2+E3*2+F3*1+H3*4+I3*2</f>
        <v>#REF!</v>
      </c>
    </row>
    <row r="9" spans="1:24" x14ac:dyDescent="0.3">
      <c r="C9" t="s">
        <v>40</v>
      </c>
      <c r="D9" s="3" t="s">
        <v>41</v>
      </c>
      <c r="R9" t="s">
        <v>45</v>
      </c>
      <c r="S9" t="e">
        <f>S7-S8</f>
        <v>#REF!</v>
      </c>
    </row>
    <row r="10" spans="1:24" x14ac:dyDescent="0.3">
      <c r="C10" t="s">
        <v>3</v>
      </c>
      <c r="D10" s="3" t="s">
        <v>21</v>
      </c>
    </row>
    <row r="11" spans="1:24" x14ac:dyDescent="0.3">
      <c r="C11" t="s">
        <v>39</v>
      </c>
      <c r="D11" s="3" t="s">
        <v>38</v>
      </c>
      <c r="R11" t="s">
        <v>46</v>
      </c>
      <c r="S11" t="e">
        <f>#REF!/8*20</f>
        <v>#REF!</v>
      </c>
      <c r="T11" t="s">
        <v>48</v>
      </c>
      <c r="U11" t="e">
        <f>S11/60</f>
        <v>#REF!</v>
      </c>
      <c r="V11" t="s">
        <v>49</v>
      </c>
      <c r="W11" t="e">
        <f>U11*26</f>
        <v>#REF!</v>
      </c>
      <c r="X11" t="s">
        <v>51</v>
      </c>
    </row>
    <row r="12" spans="1:24" x14ac:dyDescent="0.3">
      <c r="C12" t="s">
        <v>16</v>
      </c>
      <c r="D12" s="3" t="s">
        <v>20</v>
      </c>
      <c r="R12" t="s">
        <v>47</v>
      </c>
      <c r="S12" t="e">
        <f>C2*1+#REF!*4+D2*1+E2*1.5+F2*0.1+H2*0.5+I2*1</f>
        <v>#REF!</v>
      </c>
      <c r="T12" t="s">
        <v>48</v>
      </c>
      <c r="U12" t="e">
        <f>S12/60</f>
        <v>#REF!</v>
      </c>
      <c r="V12" t="s">
        <v>49</v>
      </c>
      <c r="W12" t="e">
        <f t="shared" ref="W12:W13" si="0">U12*26</f>
        <v>#REF!</v>
      </c>
      <c r="X12" t="s">
        <v>51</v>
      </c>
    </row>
    <row r="13" spans="1:24" x14ac:dyDescent="0.3">
      <c r="C13" t="s">
        <v>2</v>
      </c>
      <c r="D13" s="3" t="s">
        <v>19</v>
      </c>
      <c r="R13" t="s">
        <v>50</v>
      </c>
      <c r="S13" t="e">
        <f>S11-S12</f>
        <v>#REF!</v>
      </c>
      <c r="T13" t="s">
        <v>48</v>
      </c>
      <c r="U13" t="e">
        <f>S13/60</f>
        <v>#REF!</v>
      </c>
      <c r="V13" t="s">
        <v>49</v>
      </c>
      <c r="W13" t="e">
        <f t="shared" si="0"/>
        <v>#REF!</v>
      </c>
      <c r="X13" t="s">
        <v>51</v>
      </c>
    </row>
    <row r="14" spans="1:24" x14ac:dyDescent="0.3">
      <c r="C14" t="s">
        <v>1</v>
      </c>
      <c r="D14" s="3" t="s">
        <v>17</v>
      </c>
    </row>
    <row r="15" spans="1:24" x14ac:dyDescent="0.3">
      <c r="C15" t="s">
        <v>0</v>
      </c>
      <c r="D15" s="3" t="s">
        <v>18</v>
      </c>
    </row>
    <row r="16" spans="1:24" x14ac:dyDescent="0.3">
      <c r="C16" t="s">
        <v>22</v>
      </c>
      <c r="D16" s="3" t="s">
        <v>23</v>
      </c>
    </row>
    <row r="18" spans="1:11" x14ac:dyDescent="0.3">
      <c r="D18" s="3"/>
    </row>
    <row r="19" spans="1:11" x14ac:dyDescent="0.3">
      <c r="D19" s="3"/>
    </row>
    <row r="20" spans="1:11" x14ac:dyDescent="0.3">
      <c r="D20" s="3"/>
    </row>
    <row r="24" spans="1:11" x14ac:dyDescent="0.3">
      <c r="H24" t="s">
        <v>37</v>
      </c>
      <c r="I24" s="4" t="s">
        <v>37</v>
      </c>
    </row>
    <row r="25" spans="1:11" x14ac:dyDescent="0.3">
      <c r="B25" t="s">
        <v>26</v>
      </c>
      <c r="C25" t="s">
        <v>28</v>
      </c>
      <c r="D25" t="s">
        <v>27</v>
      </c>
      <c r="E25" t="s">
        <v>30</v>
      </c>
      <c r="F25" t="s">
        <v>31</v>
      </c>
      <c r="H25" s="4" t="s">
        <v>33</v>
      </c>
      <c r="I25" s="4" t="s">
        <v>34</v>
      </c>
    </row>
    <row r="26" spans="1:11" x14ac:dyDescent="0.3">
      <c r="A26" t="s">
        <v>12</v>
      </c>
      <c r="B26">
        <v>6</v>
      </c>
      <c r="C26">
        <v>60</v>
      </c>
      <c r="D26">
        <v>1</v>
      </c>
      <c r="E26">
        <v>1</v>
      </c>
      <c r="F26" s="5">
        <f>1-E26/C26</f>
        <v>0.98333333333333328</v>
      </c>
      <c r="H26" s="4"/>
      <c r="I26">
        <v>60</v>
      </c>
      <c r="J26" s="1">
        <v>0.60067129629629623</v>
      </c>
      <c r="K26" s="1">
        <v>0.60098379629629628</v>
      </c>
    </row>
    <row r="27" spans="1:11" x14ac:dyDescent="0.3">
      <c r="A27" t="s">
        <v>8</v>
      </c>
      <c r="B27">
        <v>8</v>
      </c>
      <c r="C27">
        <v>80</v>
      </c>
      <c r="D27">
        <v>2</v>
      </c>
      <c r="E27">
        <v>2</v>
      </c>
      <c r="F27" s="5">
        <f t="shared" ref="F27:F33" si="1">1-E27/C27</f>
        <v>0.97499999999999998</v>
      </c>
      <c r="H27" s="4"/>
      <c r="I27">
        <v>240</v>
      </c>
      <c r="J27" s="1">
        <v>0.61694444444444441</v>
      </c>
      <c r="K27" s="1">
        <v>0.61990740740740746</v>
      </c>
    </row>
    <row r="28" spans="1:11" x14ac:dyDescent="0.3">
      <c r="A28" t="s">
        <v>9</v>
      </c>
      <c r="B28">
        <v>4</v>
      </c>
      <c r="C28">
        <v>40</v>
      </c>
      <c r="D28">
        <v>2</v>
      </c>
      <c r="E28">
        <v>2</v>
      </c>
      <c r="F28" s="5">
        <f t="shared" si="1"/>
        <v>0.95</v>
      </c>
      <c r="H28" s="4"/>
      <c r="I28">
        <v>60</v>
      </c>
      <c r="J28" s="1">
        <v>0.6010416666666667</v>
      </c>
      <c r="K28" s="1">
        <v>0.60182870370370367</v>
      </c>
    </row>
    <row r="29" spans="1:11" x14ac:dyDescent="0.3">
      <c r="A29" t="s">
        <v>36</v>
      </c>
      <c r="B29" s="8" t="s">
        <v>29</v>
      </c>
      <c r="C29">
        <v>70</v>
      </c>
      <c r="D29">
        <v>2</v>
      </c>
      <c r="E29">
        <v>2</v>
      </c>
      <c r="F29" s="5">
        <f t="shared" si="1"/>
        <v>0.97142857142857142</v>
      </c>
      <c r="H29" s="4"/>
      <c r="I29">
        <v>90</v>
      </c>
      <c r="J29" s="1">
        <v>0.6151388888888889</v>
      </c>
      <c r="K29" s="1">
        <v>0.61609953703703701</v>
      </c>
    </row>
    <row r="30" spans="1:11" x14ac:dyDescent="0.3">
      <c r="A30" t="s">
        <v>35</v>
      </c>
      <c r="B30" s="8" t="s">
        <v>29</v>
      </c>
      <c r="C30">
        <v>70</v>
      </c>
      <c r="D30">
        <v>2</v>
      </c>
      <c r="E30">
        <v>2</v>
      </c>
      <c r="F30" s="5">
        <f t="shared" si="1"/>
        <v>0.97142857142857142</v>
      </c>
      <c r="H30" s="4"/>
      <c r="I30">
        <v>90</v>
      </c>
      <c r="J30" s="1">
        <v>0.6151388888888889</v>
      </c>
      <c r="K30" s="1">
        <v>0.61609953703703701</v>
      </c>
    </row>
    <row r="31" spans="1:11" x14ac:dyDescent="0.3">
      <c r="A31" t="s">
        <v>11</v>
      </c>
      <c r="B31">
        <v>1</v>
      </c>
      <c r="C31">
        <v>10</v>
      </c>
      <c r="D31">
        <v>1</v>
      </c>
      <c r="E31">
        <v>1</v>
      </c>
      <c r="F31" s="5">
        <f t="shared" si="1"/>
        <v>0.9</v>
      </c>
      <c r="H31" s="4"/>
      <c r="I31">
        <v>6</v>
      </c>
    </row>
    <row r="32" spans="1:11" x14ac:dyDescent="0.3">
      <c r="A32" t="s">
        <v>24</v>
      </c>
      <c r="B32">
        <v>3</v>
      </c>
      <c r="C32">
        <v>30</v>
      </c>
      <c r="D32">
        <v>4</v>
      </c>
      <c r="E32">
        <v>4</v>
      </c>
      <c r="F32" s="5">
        <f t="shared" si="1"/>
        <v>0.8666666666666667</v>
      </c>
      <c r="H32" s="4"/>
      <c r="I32">
        <v>30</v>
      </c>
    </row>
    <row r="33" spans="1:11" x14ac:dyDescent="0.3">
      <c r="A33" t="s">
        <v>25</v>
      </c>
      <c r="B33">
        <v>5</v>
      </c>
      <c r="C33">
        <v>50</v>
      </c>
      <c r="D33">
        <v>2</v>
      </c>
      <c r="E33">
        <v>2</v>
      </c>
      <c r="F33" s="5">
        <f t="shared" si="1"/>
        <v>0.96</v>
      </c>
      <c r="H33" s="4"/>
      <c r="I33">
        <v>60</v>
      </c>
      <c r="J33" s="1">
        <v>0.61251157407407408</v>
      </c>
      <c r="K33" s="1">
        <v>0.61304398148148154</v>
      </c>
    </row>
    <row r="34" spans="1:11" x14ac:dyDescent="0.3">
      <c r="A34" s="7" t="s">
        <v>32</v>
      </c>
      <c r="C34" s="7">
        <f>SUM(C26:C33)</f>
        <v>410</v>
      </c>
      <c r="E34" s="7">
        <f>SUM(E26:E33)</f>
        <v>16</v>
      </c>
      <c r="F34" s="6">
        <f>1-E34/C34</f>
        <v>0.96097560975609753</v>
      </c>
      <c r="H34" s="4"/>
      <c r="I34" s="7">
        <f>SUM(I26:I33)</f>
        <v>636</v>
      </c>
    </row>
    <row r="35" spans="1:11" x14ac:dyDescent="0.3">
      <c r="I35" s="9" t="s">
        <v>52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57AB6-1985-479F-9134-FEE636440858}">
  <sheetPr codeName="Sheet9"/>
  <dimension ref="A1:D201"/>
  <sheetViews>
    <sheetView workbookViewId="0">
      <selection activeCell="F16" sqref="F16"/>
    </sheetView>
  </sheetViews>
  <sheetFormatPr defaultRowHeight="14.4" x14ac:dyDescent="0.3"/>
  <cols>
    <col min="1" max="1" width="11" customWidth="1"/>
    <col min="2" max="2" width="12.6640625" customWidth="1"/>
    <col min="3" max="3" width="10" customWidth="1"/>
  </cols>
  <sheetData>
    <row r="1" spans="1:4" x14ac:dyDescent="0.3">
      <c r="A1" t="s">
        <v>5</v>
      </c>
      <c r="B1" t="s">
        <v>6</v>
      </c>
      <c r="C1" t="s">
        <v>7</v>
      </c>
      <c r="D1" t="s">
        <v>14</v>
      </c>
    </row>
    <row r="2" spans="1:4" x14ac:dyDescent="0.3">
      <c r="A2" t="s">
        <v>1</v>
      </c>
      <c r="B2" s="2">
        <v>45721</v>
      </c>
      <c r="C2" s="1">
        <v>0.39564814814814814</v>
      </c>
    </row>
    <row r="3" spans="1:4" x14ac:dyDescent="0.3">
      <c r="A3" t="s">
        <v>1</v>
      </c>
      <c r="B3" s="2">
        <v>45727</v>
      </c>
      <c r="C3" s="1">
        <v>0.59547453703703701</v>
      </c>
    </row>
    <row r="4" spans="1:4" x14ac:dyDescent="0.3">
      <c r="A4" t="s">
        <v>1</v>
      </c>
      <c r="B4" s="2">
        <v>45728</v>
      </c>
      <c r="C4" s="1">
        <v>0.59628472222222217</v>
      </c>
    </row>
    <row r="5" spans="1:4" x14ac:dyDescent="0.3">
      <c r="A5" t="s">
        <v>16</v>
      </c>
      <c r="B5" s="2">
        <v>45728</v>
      </c>
      <c r="C5" s="1">
        <v>0.60160879629629627</v>
      </c>
    </row>
    <row r="6" spans="1:4" x14ac:dyDescent="0.3">
      <c r="A6" t="s">
        <v>1</v>
      </c>
      <c r="B6" s="2">
        <v>45728</v>
      </c>
      <c r="C6" s="1">
        <v>0.60496527777777775</v>
      </c>
    </row>
    <row r="7" spans="1:4" x14ac:dyDescent="0.3">
      <c r="A7" t="s">
        <v>16</v>
      </c>
      <c r="B7" s="2">
        <v>45728</v>
      </c>
      <c r="C7" s="1">
        <v>0.68156250000000007</v>
      </c>
    </row>
    <row r="8" spans="1:4" x14ac:dyDescent="0.3">
      <c r="A8" t="s">
        <v>16</v>
      </c>
      <c r="B8" s="2">
        <v>45729</v>
      </c>
      <c r="C8" s="1">
        <v>0.66274305555555557</v>
      </c>
    </row>
    <row r="9" spans="1:4" x14ac:dyDescent="0.3">
      <c r="A9" t="s">
        <v>16</v>
      </c>
      <c r="B9" s="2">
        <v>45734</v>
      </c>
      <c r="C9" s="1">
        <v>0.71703703703703703</v>
      </c>
    </row>
    <row r="10" spans="1:4" x14ac:dyDescent="0.3">
      <c r="A10" t="s">
        <v>1</v>
      </c>
      <c r="B10" s="2">
        <v>45736</v>
      </c>
      <c r="C10" s="1">
        <v>0.49864583333333329</v>
      </c>
    </row>
    <row r="11" spans="1:4" x14ac:dyDescent="0.3">
      <c r="A11" t="s">
        <v>16</v>
      </c>
      <c r="B11" s="2">
        <v>45736</v>
      </c>
      <c r="C11" s="1">
        <v>0.51798611111111115</v>
      </c>
    </row>
    <row r="12" spans="1:4" x14ac:dyDescent="0.3">
      <c r="A12" t="s">
        <v>16</v>
      </c>
      <c r="B12" s="2">
        <v>45736</v>
      </c>
      <c r="C12" s="1">
        <v>0.66240740740740744</v>
      </c>
    </row>
    <row r="13" spans="1:4" x14ac:dyDescent="0.3">
      <c r="A13" t="s">
        <v>1</v>
      </c>
      <c r="B13" s="2">
        <v>45741</v>
      </c>
      <c r="C13" s="1">
        <v>0.4803472222222222</v>
      </c>
    </row>
    <row r="14" spans="1:4" x14ac:dyDescent="0.3">
      <c r="A14" t="s">
        <v>16</v>
      </c>
      <c r="B14" s="2">
        <v>45741</v>
      </c>
      <c r="C14" s="1">
        <v>0.67297453703703702</v>
      </c>
    </row>
    <row r="15" spans="1:4" x14ac:dyDescent="0.3">
      <c r="A15" t="s">
        <v>16</v>
      </c>
      <c r="B15" s="2">
        <v>45743</v>
      </c>
      <c r="C15" s="1">
        <v>0.54361111111111116</v>
      </c>
    </row>
    <row r="16" spans="1:4" x14ac:dyDescent="0.3">
      <c r="A16" t="s">
        <v>16</v>
      </c>
      <c r="B16" s="2">
        <v>45743</v>
      </c>
      <c r="C16" s="1">
        <v>0.68158564814814815</v>
      </c>
    </row>
    <row r="17" spans="1:3" x14ac:dyDescent="0.3">
      <c r="A17" t="s">
        <v>1</v>
      </c>
      <c r="B17" s="2">
        <v>45758</v>
      </c>
      <c r="C17" s="1">
        <v>0.48931712962962964</v>
      </c>
    </row>
    <row r="18" spans="1:3" x14ac:dyDescent="0.3">
      <c r="A18" t="s">
        <v>1</v>
      </c>
      <c r="B18" s="2">
        <v>45762</v>
      </c>
      <c r="C18" s="1">
        <v>0.63541666666666663</v>
      </c>
    </row>
    <row r="19" spans="1:3" x14ac:dyDescent="0.3">
      <c r="A19" t="s">
        <v>1</v>
      </c>
      <c r="B19" s="2">
        <v>45762</v>
      </c>
      <c r="C19" s="1">
        <v>0.65273148148148141</v>
      </c>
    </row>
    <row r="20" spans="1:3" x14ac:dyDescent="0.3">
      <c r="A20" t="s">
        <v>39</v>
      </c>
      <c r="B20" s="2">
        <v>45763</v>
      </c>
      <c r="C20" s="1">
        <v>0.34901620370370368</v>
      </c>
    </row>
    <row r="21" spans="1:3" x14ac:dyDescent="0.3">
      <c r="A21" t="s">
        <v>53</v>
      </c>
      <c r="B21" s="2">
        <v>45763</v>
      </c>
      <c r="C21" s="1">
        <v>0.43309027777777781</v>
      </c>
    </row>
    <row r="22" spans="1:3" x14ac:dyDescent="0.3">
      <c r="A22" t="s">
        <v>53</v>
      </c>
      <c r="B22" s="2">
        <v>45763</v>
      </c>
      <c r="C22" s="1">
        <v>0.43434027777777778</v>
      </c>
    </row>
    <row r="23" spans="1:3" x14ac:dyDescent="0.3">
      <c r="A23" t="s">
        <v>53</v>
      </c>
      <c r="B23" s="2">
        <v>45763</v>
      </c>
      <c r="C23" s="1">
        <v>0.43709490740740736</v>
      </c>
    </row>
    <row r="24" spans="1:3" x14ac:dyDescent="0.3">
      <c r="A24" t="s">
        <v>53</v>
      </c>
      <c r="B24" s="2">
        <v>45763</v>
      </c>
      <c r="C24" s="1">
        <v>0.44123842592592594</v>
      </c>
    </row>
    <row r="25" spans="1:3" x14ac:dyDescent="0.3">
      <c r="A25" t="s">
        <v>58</v>
      </c>
      <c r="B25" s="2">
        <v>45763</v>
      </c>
      <c r="C25" s="1">
        <v>0.4566087962962963</v>
      </c>
    </row>
    <row r="26" spans="1:3" x14ac:dyDescent="0.3">
      <c r="A26" t="s">
        <v>58</v>
      </c>
      <c r="B26" s="2">
        <v>45763</v>
      </c>
      <c r="C26" s="1">
        <v>0.45687499999999998</v>
      </c>
    </row>
    <row r="27" spans="1:3" x14ac:dyDescent="0.3">
      <c r="A27" t="s">
        <v>58</v>
      </c>
      <c r="B27" s="2">
        <v>45763</v>
      </c>
      <c r="C27" s="1">
        <v>0.45928240740740739</v>
      </c>
    </row>
    <row r="28" spans="1:3" x14ac:dyDescent="0.3">
      <c r="A28" t="s">
        <v>1</v>
      </c>
      <c r="B28" s="2">
        <v>45763</v>
      </c>
      <c r="C28" s="1">
        <v>0.46195601851851853</v>
      </c>
    </row>
    <row r="29" spans="1:3" x14ac:dyDescent="0.3">
      <c r="A29" t="s">
        <v>1</v>
      </c>
      <c r="B29" s="2">
        <v>45764</v>
      </c>
      <c r="C29" s="1">
        <v>0.50800925925925922</v>
      </c>
    </row>
    <row r="30" spans="1:3" x14ac:dyDescent="0.3">
      <c r="A30" t="s">
        <v>1</v>
      </c>
      <c r="B30" s="2">
        <v>45764</v>
      </c>
      <c r="C30" s="1">
        <v>0.50947916666666659</v>
      </c>
    </row>
    <row r="31" spans="1:3" x14ac:dyDescent="0.3">
      <c r="A31" t="s">
        <v>1</v>
      </c>
      <c r="B31" s="2">
        <v>45764</v>
      </c>
      <c r="C31" s="1">
        <v>0.51140046296296293</v>
      </c>
    </row>
    <row r="32" spans="1:3" x14ac:dyDescent="0.3">
      <c r="A32" t="s">
        <v>1</v>
      </c>
      <c r="B32" s="2">
        <v>45764</v>
      </c>
      <c r="C32" s="1">
        <v>0.51266203703703705</v>
      </c>
    </row>
    <row r="33" spans="1:3" x14ac:dyDescent="0.3">
      <c r="A33" t="s">
        <v>1</v>
      </c>
      <c r="B33" s="2">
        <v>45764</v>
      </c>
      <c r="C33" s="1">
        <v>0.51303240740740741</v>
      </c>
    </row>
    <row r="34" spans="1:3" x14ac:dyDescent="0.3">
      <c r="A34" t="s">
        <v>1</v>
      </c>
      <c r="B34" s="2">
        <v>45764</v>
      </c>
      <c r="C34" s="1">
        <v>0.51355324074074071</v>
      </c>
    </row>
    <row r="35" spans="1:3" x14ac:dyDescent="0.3">
      <c r="A35" t="s">
        <v>1</v>
      </c>
      <c r="B35" s="2">
        <v>45764</v>
      </c>
      <c r="C35" s="1">
        <v>0.51416666666666666</v>
      </c>
    </row>
    <row r="36" spans="1:3" x14ac:dyDescent="0.3">
      <c r="A36" t="s">
        <v>54</v>
      </c>
      <c r="B36" s="2">
        <v>45764</v>
      </c>
      <c r="C36" s="1">
        <v>0.56193287037037043</v>
      </c>
    </row>
    <row r="37" spans="1:3" x14ac:dyDescent="0.3">
      <c r="A37" t="s">
        <v>54</v>
      </c>
      <c r="B37" s="2">
        <v>45764</v>
      </c>
      <c r="C37" s="1">
        <v>0.56256944444444446</v>
      </c>
    </row>
    <row r="38" spans="1:3" x14ac:dyDescent="0.3">
      <c r="A38" t="s">
        <v>54</v>
      </c>
      <c r="B38" s="2">
        <v>45764</v>
      </c>
      <c r="C38" s="1">
        <v>0.56394675925925919</v>
      </c>
    </row>
    <row r="39" spans="1:3" x14ac:dyDescent="0.3">
      <c r="A39" t="s">
        <v>1</v>
      </c>
      <c r="B39" s="2">
        <v>45768</v>
      </c>
      <c r="C39" s="1">
        <v>0.55708333333333326</v>
      </c>
    </row>
    <row r="40" spans="1:3" x14ac:dyDescent="0.3">
      <c r="A40" t="s">
        <v>1</v>
      </c>
      <c r="B40" s="2">
        <v>45768</v>
      </c>
      <c r="C40" s="1">
        <v>0.55810185185185179</v>
      </c>
    </row>
    <row r="41" spans="1:3" x14ac:dyDescent="0.3">
      <c r="A41" t="s">
        <v>1</v>
      </c>
      <c r="B41" s="2">
        <v>45768</v>
      </c>
      <c r="C41" s="1">
        <v>0.6107407407407407</v>
      </c>
    </row>
    <row r="42" spans="1:3" x14ac:dyDescent="0.3">
      <c r="A42" t="s">
        <v>59</v>
      </c>
      <c r="B42" s="2">
        <v>45769</v>
      </c>
      <c r="C42" s="1">
        <v>0.41471064814814818</v>
      </c>
    </row>
    <row r="43" spans="1:3" x14ac:dyDescent="0.3">
      <c r="A43" t="s">
        <v>39</v>
      </c>
      <c r="B43" s="2">
        <v>45769</v>
      </c>
      <c r="C43" s="1">
        <v>0.6975231481481482</v>
      </c>
    </row>
    <row r="44" spans="1:3" x14ac:dyDescent="0.3">
      <c r="A44" t="s">
        <v>2</v>
      </c>
      <c r="B44" s="2">
        <v>45769</v>
      </c>
      <c r="C44" s="1">
        <v>0.69935185185185189</v>
      </c>
    </row>
    <row r="45" spans="1:3" x14ac:dyDescent="0.3">
      <c r="A45" t="s">
        <v>16</v>
      </c>
      <c r="B45" s="2">
        <v>45770</v>
      </c>
      <c r="C45" s="1">
        <v>0.43225694444444446</v>
      </c>
    </row>
    <row r="46" spans="1:3" x14ac:dyDescent="0.3">
      <c r="A46" t="s">
        <v>1</v>
      </c>
      <c r="B46" s="2">
        <v>45770</v>
      </c>
      <c r="C46" s="1">
        <v>0.56508101851851855</v>
      </c>
    </row>
    <row r="47" spans="1:3" x14ac:dyDescent="0.3">
      <c r="A47" t="s">
        <v>1</v>
      </c>
      <c r="B47" s="2">
        <v>45770</v>
      </c>
      <c r="C47" s="1">
        <v>0.57278935185185187</v>
      </c>
    </row>
    <row r="48" spans="1:3" x14ac:dyDescent="0.3">
      <c r="A48" t="s">
        <v>16</v>
      </c>
      <c r="B48" s="2">
        <v>45770</v>
      </c>
      <c r="C48" s="1">
        <v>0.66612268518518525</v>
      </c>
    </row>
    <row r="49" spans="1:3" x14ac:dyDescent="0.3">
      <c r="A49" t="s">
        <v>1</v>
      </c>
      <c r="B49" s="2">
        <v>45771</v>
      </c>
      <c r="C49" s="1">
        <v>0.40626157407407404</v>
      </c>
    </row>
    <row r="50" spans="1:3" x14ac:dyDescent="0.3">
      <c r="A50" t="s">
        <v>39</v>
      </c>
      <c r="B50" s="2">
        <v>45771</v>
      </c>
      <c r="C50" s="1">
        <v>0.53050925925925929</v>
      </c>
    </row>
    <row r="51" spans="1:3" x14ac:dyDescent="0.3">
      <c r="A51" t="s">
        <v>55</v>
      </c>
      <c r="B51" s="2">
        <v>45772</v>
      </c>
      <c r="C51" s="1">
        <v>0.55175925925925928</v>
      </c>
    </row>
    <row r="52" spans="1:3" x14ac:dyDescent="0.3">
      <c r="A52" t="s">
        <v>55</v>
      </c>
      <c r="B52" s="2">
        <v>45772</v>
      </c>
      <c r="C52" s="1">
        <v>0.55324074074074081</v>
      </c>
    </row>
    <row r="53" spans="1:3" x14ac:dyDescent="0.3">
      <c r="A53" t="s">
        <v>55</v>
      </c>
      <c r="B53" s="2">
        <v>45772</v>
      </c>
      <c r="C53" s="1">
        <v>0.56064814814814812</v>
      </c>
    </row>
    <row r="54" spans="1:3" x14ac:dyDescent="0.3">
      <c r="A54" t="s">
        <v>55</v>
      </c>
      <c r="B54" s="2">
        <v>45772</v>
      </c>
      <c r="C54" s="1">
        <v>0.57202546296296297</v>
      </c>
    </row>
    <row r="55" spans="1:3" x14ac:dyDescent="0.3">
      <c r="A55" t="s">
        <v>1</v>
      </c>
      <c r="B55" s="2">
        <v>45772</v>
      </c>
      <c r="C55" s="1">
        <v>0.58741898148148153</v>
      </c>
    </row>
    <row r="56" spans="1:3" x14ac:dyDescent="0.3">
      <c r="A56" t="s">
        <v>40</v>
      </c>
      <c r="B56" s="2">
        <v>45772</v>
      </c>
      <c r="C56" s="1">
        <v>0.58942129629629625</v>
      </c>
    </row>
    <row r="57" spans="1:3" x14ac:dyDescent="0.3">
      <c r="A57" t="s">
        <v>1</v>
      </c>
      <c r="B57" s="2">
        <v>45772</v>
      </c>
      <c r="C57" s="1">
        <v>0.60532407407407407</v>
      </c>
    </row>
    <row r="58" spans="1:3" x14ac:dyDescent="0.3">
      <c r="A58" t="s">
        <v>3</v>
      </c>
      <c r="B58" s="2">
        <v>45775</v>
      </c>
      <c r="C58" s="1">
        <v>0.49502314814814818</v>
      </c>
    </row>
    <row r="59" spans="1:3" x14ac:dyDescent="0.3">
      <c r="A59" t="s">
        <v>1</v>
      </c>
      <c r="B59" s="2">
        <v>45775</v>
      </c>
      <c r="C59" s="1">
        <v>0.50510416666666669</v>
      </c>
    </row>
    <row r="60" spans="1:3" x14ac:dyDescent="0.3">
      <c r="A60" t="s">
        <v>1</v>
      </c>
      <c r="B60" s="2">
        <v>45775</v>
      </c>
      <c r="C60" s="1">
        <v>0.51255787037037037</v>
      </c>
    </row>
    <row r="61" spans="1:3" x14ac:dyDescent="0.3">
      <c r="A61" t="s">
        <v>3</v>
      </c>
      <c r="B61" s="2">
        <v>45775</v>
      </c>
      <c r="C61" s="1">
        <v>0.5198842592592593</v>
      </c>
    </row>
    <row r="62" spans="1:3" x14ac:dyDescent="0.3">
      <c r="A62" t="s">
        <v>3</v>
      </c>
      <c r="B62" s="2">
        <v>45775</v>
      </c>
      <c r="C62" s="1">
        <v>0.54533564814814817</v>
      </c>
    </row>
    <row r="63" spans="1:3" x14ac:dyDescent="0.3">
      <c r="A63" t="s">
        <v>40</v>
      </c>
      <c r="B63" s="2">
        <v>45775</v>
      </c>
      <c r="C63" s="1">
        <v>0.56738425925925928</v>
      </c>
    </row>
    <row r="64" spans="1:3" x14ac:dyDescent="0.3">
      <c r="A64" t="s">
        <v>54</v>
      </c>
      <c r="B64" s="2">
        <v>45775</v>
      </c>
      <c r="C64" s="1">
        <v>0.58753472222222225</v>
      </c>
    </row>
    <row r="65" spans="1:3" x14ac:dyDescent="0.3">
      <c r="A65" t="s">
        <v>1</v>
      </c>
      <c r="B65" s="2">
        <v>45775</v>
      </c>
      <c r="C65" s="1">
        <v>0.61607638888888883</v>
      </c>
    </row>
    <row r="66" spans="1:3" x14ac:dyDescent="0.3">
      <c r="A66" t="s">
        <v>54</v>
      </c>
      <c r="B66" s="2">
        <v>45775</v>
      </c>
      <c r="C66" s="1">
        <v>0.61781249999999999</v>
      </c>
    </row>
    <row r="67" spans="1:3" x14ac:dyDescent="0.3">
      <c r="A67" t="s">
        <v>54</v>
      </c>
      <c r="B67" s="2">
        <v>45775</v>
      </c>
      <c r="C67" s="1">
        <v>0.6202199074074074</v>
      </c>
    </row>
    <row r="68" spans="1:3" x14ac:dyDescent="0.3">
      <c r="A68" t="s">
        <v>54</v>
      </c>
      <c r="B68" s="2">
        <v>45775</v>
      </c>
      <c r="C68" s="1">
        <v>0.64043981481481482</v>
      </c>
    </row>
    <row r="69" spans="1:3" x14ac:dyDescent="0.3">
      <c r="A69" t="s">
        <v>55</v>
      </c>
      <c r="B69" s="2">
        <v>45776</v>
      </c>
      <c r="C69" s="1">
        <v>0.45701388888888889</v>
      </c>
    </row>
    <row r="70" spans="1:3" x14ac:dyDescent="0.3">
      <c r="A70" t="s">
        <v>3</v>
      </c>
      <c r="B70" s="2">
        <v>45776</v>
      </c>
      <c r="C70" s="1">
        <v>0.79915509259259254</v>
      </c>
    </row>
    <row r="71" spans="1:3" x14ac:dyDescent="0.3">
      <c r="A71" t="s">
        <v>55</v>
      </c>
      <c r="B71" s="2">
        <v>45777</v>
      </c>
      <c r="C71" s="1">
        <v>0.31016203703703704</v>
      </c>
    </row>
    <row r="72" spans="1:3" x14ac:dyDescent="0.3">
      <c r="A72" t="s">
        <v>55</v>
      </c>
      <c r="B72" s="2">
        <v>45777</v>
      </c>
      <c r="C72" s="1">
        <v>0.34413194444444445</v>
      </c>
    </row>
    <row r="73" spans="1:3" x14ac:dyDescent="0.3">
      <c r="A73" t="s">
        <v>55</v>
      </c>
      <c r="B73" s="2">
        <v>45777</v>
      </c>
      <c r="C73" s="1">
        <v>0.42476851851851855</v>
      </c>
    </row>
    <row r="74" spans="1:3" x14ac:dyDescent="0.3">
      <c r="A74" t="s">
        <v>53</v>
      </c>
      <c r="B74" s="2">
        <v>45777</v>
      </c>
      <c r="C74" s="1">
        <v>0.47751157407407407</v>
      </c>
    </row>
    <row r="75" spans="1:3" x14ac:dyDescent="0.3">
      <c r="A75" t="s">
        <v>53</v>
      </c>
      <c r="B75" s="2">
        <v>45777</v>
      </c>
      <c r="C75" s="1">
        <v>0.47773148148148148</v>
      </c>
    </row>
    <row r="76" spans="1:3" x14ac:dyDescent="0.3">
      <c r="A76" t="s">
        <v>55</v>
      </c>
      <c r="B76" s="2">
        <v>45777</v>
      </c>
      <c r="C76" s="1">
        <v>0.54872685185185188</v>
      </c>
    </row>
    <row r="77" spans="1:3" x14ac:dyDescent="0.3">
      <c r="A77" t="s">
        <v>53</v>
      </c>
      <c r="B77" s="2">
        <v>45777</v>
      </c>
      <c r="C77" s="1">
        <v>0.57204861111111105</v>
      </c>
    </row>
    <row r="78" spans="1:3" x14ac:dyDescent="0.3">
      <c r="A78" t="s">
        <v>39</v>
      </c>
      <c r="B78" s="2">
        <v>45777</v>
      </c>
      <c r="C78" s="1">
        <v>0.64407407407407413</v>
      </c>
    </row>
    <row r="79" spans="1:3" x14ac:dyDescent="0.3">
      <c r="A79" t="s">
        <v>3</v>
      </c>
      <c r="B79" s="2">
        <v>45777</v>
      </c>
      <c r="C79" s="1">
        <v>0.84393518518518518</v>
      </c>
    </row>
    <row r="80" spans="1:3" x14ac:dyDescent="0.3">
      <c r="A80" t="s">
        <v>40</v>
      </c>
      <c r="B80" s="2">
        <v>45778</v>
      </c>
      <c r="C80" s="1">
        <v>0.36158564814814814</v>
      </c>
    </row>
    <row r="81" spans="1:3" x14ac:dyDescent="0.3">
      <c r="A81" t="s">
        <v>55</v>
      </c>
      <c r="B81" s="2">
        <v>45778</v>
      </c>
      <c r="C81" s="1">
        <v>0.40636574074074078</v>
      </c>
    </row>
    <row r="82" spans="1:3" x14ac:dyDescent="0.3">
      <c r="A82" t="s">
        <v>56</v>
      </c>
      <c r="B82" s="2">
        <v>45778</v>
      </c>
      <c r="C82" s="1">
        <v>0.47405092592592596</v>
      </c>
    </row>
    <row r="83" spans="1:3" x14ac:dyDescent="0.3">
      <c r="A83" t="s">
        <v>56</v>
      </c>
      <c r="B83" s="2">
        <v>45778</v>
      </c>
      <c r="C83" s="1">
        <v>0.47613425925925923</v>
      </c>
    </row>
    <row r="84" spans="1:3" x14ac:dyDescent="0.3">
      <c r="A84" t="s">
        <v>56</v>
      </c>
      <c r="B84" s="2">
        <v>45778</v>
      </c>
      <c r="C84" s="1">
        <v>0.55884259259259261</v>
      </c>
    </row>
    <row r="85" spans="1:3" x14ac:dyDescent="0.3">
      <c r="A85" t="s">
        <v>39</v>
      </c>
      <c r="B85" s="2">
        <v>45778</v>
      </c>
      <c r="C85" s="1">
        <v>0.64197916666666666</v>
      </c>
    </row>
    <row r="86" spans="1:3" x14ac:dyDescent="0.3">
      <c r="A86" t="s">
        <v>55</v>
      </c>
      <c r="B86" s="2">
        <v>45779</v>
      </c>
      <c r="C86" s="1">
        <v>0.40993055555555552</v>
      </c>
    </row>
    <row r="87" spans="1:3" x14ac:dyDescent="0.3">
      <c r="A87" t="s">
        <v>40</v>
      </c>
      <c r="B87" s="2">
        <v>45779</v>
      </c>
      <c r="C87" s="1">
        <v>0.53702546296296294</v>
      </c>
    </row>
    <row r="88" spans="1:3" x14ac:dyDescent="0.3">
      <c r="A88" t="s">
        <v>56</v>
      </c>
      <c r="B88" s="2">
        <v>45783</v>
      </c>
      <c r="C88" s="1">
        <v>0.33971064814814816</v>
      </c>
    </row>
    <row r="89" spans="1:3" x14ac:dyDescent="0.3">
      <c r="A89" t="s">
        <v>39</v>
      </c>
      <c r="B89" s="2">
        <v>45783</v>
      </c>
      <c r="C89" s="1">
        <v>0.69651620370370371</v>
      </c>
    </row>
    <row r="90" spans="1:3" x14ac:dyDescent="0.3">
      <c r="A90" t="s">
        <v>39</v>
      </c>
      <c r="B90" s="2">
        <v>45783</v>
      </c>
      <c r="C90" s="1">
        <v>0.72243055555555558</v>
      </c>
    </row>
    <row r="91" spans="1:3" x14ac:dyDescent="0.3">
      <c r="A91" t="s">
        <v>40</v>
      </c>
      <c r="B91" s="2">
        <v>45784</v>
      </c>
      <c r="C91" s="1">
        <v>0.46945601851851854</v>
      </c>
    </row>
    <row r="92" spans="1:3" x14ac:dyDescent="0.3">
      <c r="A92" t="s">
        <v>53</v>
      </c>
      <c r="B92" s="2">
        <v>45784</v>
      </c>
      <c r="C92" s="1">
        <v>0.66671296296296301</v>
      </c>
    </row>
    <row r="93" spans="1:3" x14ac:dyDescent="0.3">
      <c r="A93" t="s">
        <v>39</v>
      </c>
      <c r="B93" s="2">
        <v>45784</v>
      </c>
      <c r="C93" s="1">
        <v>0.71333333333333337</v>
      </c>
    </row>
    <row r="94" spans="1:3" x14ac:dyDescent="0.3">
      <c r="A94" t="s">
        <v>22</v>
      </c>
      <c r="B94" s="2">
        <v>45785</v>
      </c>
      <c r="C94" s="1">
        <v>0.63689814814814816</v>
      </c>
    </row>
    <row r="95" spans="1:3" x14ac:dyDescent="0.3">
      <c r="A95" t="s">
        <v>22</v>
      </c>
      <c r="B95" s="2">
        <v>45785</v>
      </c>
      <c r="C95" s="1">
        <v>0.63692129629629635</v>
      </c>
    </row>
    <row r="96" spans="1:3" x14ac:dyDescent="0.3">
      <c r="A96" t="s">
        <v>22</v>
      </c>
      <c r="B96" s="2">
        <v>45785</v>
      </c>
      <c r="C96" s="1">
        <v>0.64739583333333328</v>
      </c>
    </row>
    <row r="97" spans="1:3" x14ac:dyDescent="0.3">
      <c r="A97" t="s">
        <v>22</v>
      </c>
      <c r="B97" s="2">
        <v>45785</v>
      </c>
      <c r="C97" s="1">
        <v>0.65156249999999993</v>
      </c>
    </row>
    <row r="98" spans="1:3" x14ac:dyDescent="0.3">
      <c r="A98" t="s">
        <v>39</v>
      </c>
      <c r="B98" s="2">
        <v>45785</v>
      </c>
      <c r="C98" s="1">
        <v>0.7211805555555556</v>
      </c>
    </row>
    <row r="99" spans="1:3" x14ac:dyDescent="0.3">
      <c r="A99" t="s">
        <v>39</v>
      </c>
      <c r="B99" s="2">
        <v>45786</v>
      </c>
      <c r="C99" s="1">
        <v>0.36149305555555555</v>
      </c>
    </row>
    <row r="100" spans="1:3" x14ac:dyDescent="0.3">
      <c r="A100" t="s">
        <v>56</v>
      </c>
      <c r="B100" s="2">
        <v>45790</v>
      </c>
      <c r="C100" s="1">
        <v>0.47984953703703703</v>
      </c>
    </row>
    <row r="101" spans="1:3" x14ac:dyDescent="0.3">
      <c r="A101" t="s">
        <v>39</v>
      </c>
      <c r="B101" s="2">
        <v>45790</v>
      </c>
      <c r="C101" s="1">
        <v>0.7184490740740741</v>
      </c>
    </row>
    <row r="102" spans="1:3" x14ac:dyDescent="0.3">
      <c r="A102" t="s">
        <v>39</v>
      </c>
      <c r="B102" s="2">
        <v>45790</v>
      </c>
      <c r="C102" s="1">
        <v>0.7200347222222222</v>
      </c>
    </row>
    <row r="103" spans="1:3" x14ac:dyDescent="0.3">
      <c r="A103" t="s">
        <v>2</v>
      </c>
      <c r="B103" s="2">
        <v>45790</v>
      </c>
      <c r="C103" s="1">
        <v>0.73111111111111116</v>
      </c>
    </row>
    <row r="104" spans="1:3" x14ac:dyDescent="0.3">
      <c r="A104" t="s">
        <v>53</v>
      </c>
      <c r="B104" s="2">
        <v>45790</v>
      </c>
      <c r="C104" s="1">
        <v>0.74105324074074075</v>
      </c>
    </row>
    <row r="105" spans="1:3" x14ac:dyDescent="0.3">
      <c r="A105" t="s">
        <v>40</v>
      </c>
      <c r="B105" s="2">
        <v>45791</v>
      </c>
      <c r="C105" s="1">
        <v>0.48188657407407409</v>
      </c>
    </row>
    <row r="106" spans="1:3" x14ac:dyDescent="0.3">
      <c r="A106" t="s">
        <v>39</v>
      </c>
      <c r="B106" s="2">
        <v>45791</v>
      </c>
      <c r="C106" s="1">
        <v>0.68437500000000007</v>
      </c>
    </row>
    <row r="107" spans="1:3" x14ac:dyDescent="0.3">
      <c r="A107" t="s">
        <v>55</v>
      </c>
      <c r="B107" s="2">
        <v>45792</v>
      </c>
      <c r="C107" s="1">
        <v>0.31185185185185188</v>
      </c>
    </row>
    <row r="108" spans="1:3" x14ac:dyDescent="0.3">
      <c r="A108" t="s">
        <v>55</v>
      </c>
      <c r="B108" s="2">
        <v>45792</v>
      </c>
      <c r="C108" s="1">
        <v>0.43322916666666672</v>
      </c>
    </row>
    <row r="109" spans="1:3" x14ac:dyDescent="0.3">
      <c r="A109" t="s">
        <v>56</v>
      </c>
      <c r="B109" s="2">
        <v>45792</v>
      </c>
      <c r="C109" s="1">
        <v>0.44300925925925921</v>
      </c>
    </row>
    <row r="110" spans="1:3" x14ac:dyDescent="0.3">
      <c r="A110" t="s">
        <v>56</v>
      </c>
      <c r="B110" s="2">
        <v>45792</v>
      </c>
      <c r="C110" s="1">
        <v>0.45192129629629635</v>
      </c>
    </row>
    <row r="111" spans="1:3" x14ac:dyDescent="0.3">
      <c r="A111" t="s">
        <v>56</v>
      </c>
      <c r="B111" s="2">
        <v>45793</v>
      </c>
      <c r="C111" s="1">
        <v>0.3888888888888889</v>
      </c>
    </row>
    <row r="112" spans="1:3" x14ac:dyDescent="0.3">
      <c r="A112" t="s">
        <v>56</v>
      </c>
      <c r="B112" s="2">
        <v>45793</v>
      </c>
      <c r="C112" s="1">
        <v>0.38896990740740739</v>
      </c>
    </row>
    <row r="113" spans="1:3" x14ac:dyDescent="0.3">
      <c r="A113" t="s">
        <v>60</v>
      </c>
      <c r="B113" s="2">
        <v>45793</v>
      </c>
      <c r="C113" s="1">
        <v>0.65934027777777782</v>
      </c>
    </row>
    <row r="114" spans="1:3" x14ac:dyDescent="0.3">
      <c r="A114" t="s">
        <v>39</v>
      </c>
      <c r="B114" s="2">
        <v>45797</v>
      </c>
      <c r="C114" s="1">
        <v>0.44122685185185184</v>
      </c>
    </row>
    <row r="115" spans="1:3" x14ac:dyDescent="0.3">
      <c r="A115" t="s">
        <v>53</v>
      </c>
      <c r="B115" s="2">
        <v>45798</v>
      </c>
      <c r="C115" s="1">
        <v>0.59653935185185192</v>
      </c>
    </row>
    <row r="116" spans="1:3" x14ac:dyDescent="0.3">
      <c r="A116" t="s">
        <v>39</v>
      </c>
      <c r="B116" s="2">
        <v>45798</v>
      </c>
      <c r="C116" s="1">
        <v>0.66840277777777779</v>
      </c>
    </row>
    <row r="117" spans="1:3" x14ac:dyDescent="0.3">
      <c r="A117" t="s">
        <v>56</v>
      </c>
      <c r="B117" s="2">
        <v>45799</v>
      </c>
      <c r="C117" s="1">
        <v>0.47467592592592595</v>
      </c>
    </row>
    <row r="118" spans="1:3" x14ac:dyDescent="0.3">
      <c r="A118" t="s">
        <v>56</v>
      </c>
      <c r="B118" s="2">
        <v>45799</v>
      </c>
      <c r="C118" s="1">
        <v>0.49118055555555556</v>
      </c>
    </row>
    <row r="119" spans="1:3" x14ac:dyDescent="0.3">
      <c r="A119" t="s">
        <v>56</v>
      </c>
      <c r="B119" s="2">
        <v>45799</v>
      </c>
      <c r="C119" s="1">
        <v>0.55675925925925929</v>
      </c>
    </row>
    <row r="120" spans="1:3" x14ac:dyDescent="0.3">
      <c r="A120" t="s">
        <v>56</v>
      </c>
      <c r="B120" s="2">
        <v>45799</v>
      </c>
      <c r="C120" s="1">
        <v>0.56122685185185184</v>
      </c>
    </row>
    <row r="121" spans="1:3" x14ac:dyDescent="0.3">
      <c r="A121" t="s">
        <v>56</v>
      </c>
      <c r="B121" s="2">
        <v>45799</v>
      </c>
      <c r="C121" s="1">
        <v>0.59424768518518511</v>
      </c>
    </row>
    <row r="122" spans="1:3" x14ac:dyDescent="0.3">
      <c r="A122" t="s">
        <v>2</v>
      </c>
      <c r="B122" s="2">
        <v>45799</v>
      </c>
      <c r="C122" s="1">
        <v>0.60783564814814817</v>
      </c>
    </row>
    <row r="123" spans="1:3" x14ac:dyDescent="0.3">
      <c r="A123" t="s">
        <v>56</v>
      </c>
      <c r="B123" s="2">
        <v>45799</v>
      </c>
      <c r="C123" s="1">
        <v>0.6587615740740741</v>
      </c>
    </row>
    <row r="124" spans="1:3" x14ac:dyDescent="0.3">
      <c r="A124" t="s">
        <v>2</v>
      </c>
      <c r="B124" s="2">
        <v>45799</v>
      </c>
      <c r="C124" s="1">
        <v>0.66059027777777779</v>
      </c>
    </row>
    <row r="125" spans="1:3" x14ac:dyDescent="0.3">
      <c r="A125" t="s">
        <v>56</v>
      </c>
      <c r="B125" s="2">
        <v>45799</v>
      </c>
      <c r="C125" s="1">
        <v>0.66135416666666669</v>
      </c>
    </row>
    <row r="126" spans="1:3" x14ac:dyDescent="0.3">
      <c r="A126" t="s">
        <v>56</v>
      </c>
      <c r="B126" s="2">
        <v>45799</v>
      </c>
      <c r="C126" s="1">
        <v>0.66438657407407409</v>
      </c>
    </row>
    <row r="127" spans="1:3" x14ac:dyDescent="0.3">
      <c r="A127" t="s">
        <v>2</v>
      </c>
      <c r="B127" s="2">
        <v>45799</v>
      </c>
      <c r="C127" s="1">
        <v>0.67001157407407408</v>
      </c>
    </row>
    <row r="128" spans="1:3" x14ac:dyDescent="0.3">
      <c r="A128" t="s">
        <v>56</v>
      </c>
      <c r="B128" s="2">
        <v>45800</v>
      </c>
      <c r="C128" s="1">
        <v>0.33587962962962964</v>
      </c>
    </row>
    <row r="129" spans="1:3" x14ac:dyDescent="0.3">
      <c r="A129" t="s">
        <v>56</v>
      </c>
      <c r="B129" s="2">
        <v>45800</v>
      </c>
      <c r="C129" s="1">
        <v>0.37468750000000001</v>
      </c>
    </row>
    <row r="130" spans="1:3" x14ac:dyDescent="0.3">
      <c r="A130" t="s">
        <v>55</v>
      </c>
      <c r="B130" s="2">
        <v>45800</v>
      </c>
      <c r="C130" s="1">
        <v>0.52112268518518523</v>
      </c>
    </row>
    <row r="131" spans="1:3" x14ac:dyDescent="0.3">
      <c r="A131" t="s">
        <v>3</v>
      </c>
      <c r="B131" s="2">
        <v>45800</v>
      </c>
      <c r="C131" s="1">
        <v>0.79430555555555549</v>
      </c>
    </row>
    <row r="132" spans="1:3" x14ac:dyDescent="0.3">
      <c r="A132" t="s">
        <v>56</v>
      </c>
      <c r="B132" s="2">
        <v>45803</v>
      </c>
      <c r="C132" s="1">
        <v>0.45582175925925927</v>
      </c>
    </row>
    <row r="133" spans="1:3" x14ac:dyDescent="0.3">
      <c r="A133" t="s">
        <v>39</v>
      </c>
      <c r="B133" s="2">
        <v>45803</v>
      </c>
      <c r="C133" s="1">
        <v>0.47695601851851849</v>
      </c>
    </row>
    <row r="134" spans="1:3" x14ac:dyDescent="0.3">
      <c r="A134" t="s">
        <v>55</v>
      </c>
      <c r="B134" s="2">
        <v>45803</v>
      </c>
      <c r="C134" s="1">
        <v>0.50863425925925931</v>
      </c>
    </row>
    <row r="135" spans="1:3" x14ac:dyDescent="0.3">
      <c r="A135" t="s">
        <v>55</v>
      </c>
      <c r="B135" s="2">
        <v>45803</v>
      </c>
      <c r="C135" s="1">
        <v>0.51266203703703705</v>
      </c>
    </row>
    <row r="136" spans="1:3" x14ac:dyDescent="0.3">
      <c r="A136" t="s">
        <v>55</v>
      </c>
      <c r="B136" s="2">
        <v>45803</v>
      </c>
      <c r="C136" s="1">
        <v>0.5136574074074074</v>
      </c>
    </row>
    <row r="137" spans="1:3" x14ac:dyDescent="0.3">
      <c r="A137" t="s">
        <v>3</v>
      </c>
      <c r="B137" s="2">
        <v>45803</v>
      </c>
      <c r="C137" s="1">
        <v>0.52989583333333334</v>
      </c>
    </row>
    <row r="138" spans="1:3" x14ac:dyDescent="0.3">
      <c r="A138" t="s">
        <v>3</v>
      </c>
      <c r="B138" s="2">
        <v>45803</v>
      </c>
      <c r="C138" s="1">
        <v>0.52990740740740738</v>
      </c>
    </row>
    <row r="139" spans="1:3" x14ac:dyDescent="0.3">
      <c r="A139" t="s">
        <v>3</v>
      </c>
      <c r="B139" s="2">
        <v>45803</v>
      </c>
      <c r="C139" s="1">
        <v>0.55883101851851846</v>
      </c>
    </row>
    <row r="140" spans="1:3" x14ac:dyDescent="0.3">
      <c r="A140" t="s">
        <v>55</v>
      </c>
      <c r="B140" s="2">
        <v>45803</v>
      </c>
      <c r="C140" s="1">
        <v>0.56435185185185188</v>
      </c>
    </row>
    <row r="141" spans="1:3" x14ac:dyDescent="0.3">
      <c r="A141" t="s">
        <v>55</v>
      </c>
      <c r="B141" s="2">
        <v>45803</v>
      </c>
      <c r="C141" s="1">
        <v>0.56628472222222226</v>
      </c>
    </row>
    <row r="142" spans="1:3" x14ac:dyDescent="0.3">
      <c r="A142" t="s">
        <v>55</v>
      </c>
      <c r="B142" s="2">
        <v>45804</v>
      </c>
      <c r="C142" s="1">
        <v>0.41541666666666671</v>
      </c>
    </row>
    <row r="143" spans="1:3" x14ac:dyDescent="0.3">
      <c r="A143" t="s">
        <v>22</v>
      </c>
      <c r="B143" s="2">
        <v>45804</v>
      </c>
      <c r="C143" s="1">
        <v>0.56587962962962968</v>
      </c>
    </row>
    <row r="144" spans="1:3" x14ac:dyDescent="0.3">
      <c r="A144" t="s">
        <v>55</v>
      </c>
      <c r="B144" s="2">
        <v>45804</v>
      </c>
      <c r="C144" s="1">
        <v>0.61116898148148147</v>
      </c>
    </row>
    <row r="145" spans="1:3" x14ac:dyDescent="0.3">
      <c r="A145" t="s">
        <v>39</v>
      </c>
      <c r="B145" s="2">
        <v>45804</v>
      </c>
      <c r="C145" s="1">
        <v>0.66980324074074071</v>
      </c>
    </row>
    <row r="146" spans="1:3" x14ac:dyDescent="0.3">
      <c r="A146" t="s">
        <v>55</v>
      </c>
      <c r="B146" s="2">
        <v>45805</v>
      </c>
      <c r="C146" s="1">
        <v>0.40107638888888886</v>
      </c>
    </row>
    <row r="147" spans="1:3" x14ac:dyDescent="0.3">
      <c r="A147" t="s">
        <v>55</v>
      </c>
      <c r="B147" s="2">
        <v>45805</v>
      </c>
      <c r="C147" s="1">
        <v>0.40456018518518522</v>
      </c>
    </row>
    <row r="148" spans="1:3" x14ac:dyDescent="0.3">
      <c r="A148" t="s">
        <v>22</v>
      </c>
      <c r="B148" s="2">
        <v>45805</v>
      </c>
      <c r="C148" s="1">
        <v>0.44725694444444447</v>
      </c>
    </row>
    <row r="149" spans="1:3" x14ac:dyDescent="0.3">
      <c r="A149" t="s">
        <v>2</v>
      </c>
      <c r="B149" s="2">
        <v>45805</v>
      </c>
      <c r="C149" s="1">
        <v>0.47589120370370369</v>
      </c>
    </row>
    <row r="150" spans="1:3" x14ac:dyDescent="0.3">
      <c r="A150" t="s">
        <v>22</v>
      </c>
      <c r="B150" s="2">
        <v>45805</v>
      </c>
      <c r="C150" s="1">
        <v>0.49070601851851853</v>
      </c>
    </row>
    <row r="151" spans="1:3" x14ac:dyDescent="0.3">
      <c r="A151" t="s">
        <v>22</v>
      </c>
      <c r="B151" s="2">
        <v>45805</v>
      </c>
      <c r="C151" s="1">
        <v>0.49993055555555554</v>
      </c>
    </row>
    <row r="152" spans="1:3" x14ac:dyDescent="0.3">
      <c r="A152" t="s">
        <v>55</v>
      </c>
      <c r="B152" s="2">
        <v>45805</v>
      </c>
      <c r="C152" s="1">
        <v>0.50466435185185188</v>
      </c>
    </row>
    <row r="153" spans="1:3" x14ac:dyDescent="0.3">
      <c r="A153" t="s">
        <v>1</v>
      </c>
      <c r="B153" s="2">
        <v>45805</v>
      </c>
      <c r="C153" s="1">
        <v>0.57143518518518521</v>
      </c>
    </row>
    <row r="154" spans="1:3" x14ac:dyDescent="0.3">
      <c r="A154" t="s">
        <v>39</v>
      </c>
      <c r="B154" s="2">
        <v>45805</v>
      </c>
      <c r="C154" s="1">
        <v>0.67098379629629623</v>
      </c>
    </row>
    <row r="155" spans="1:3" x14ac:dyDescent="0.3">
      <c r="A155" t="s">
        <v>2</v>
      </c>
      <c r="B155" s="2">
        <v>45805</v>
      </c>
      <c r="C155" s="1">
        <v>0.71918981481481481</v>
      </c>
    </row>
    <row r="156" spans="1:3" x14ac:dyDescent="0.3">
      <c r="A156" t="s">
        <v>55</v>
      </c>
      <c r="B156" s="2">
        <v>45806</v>
      </c>
      <c r="C156" s="1">
        <v>0.31886574074074076</v>
      </c>
    </row>
    <row r="157" spans="1:3" x14ac:dyDescent="0.3">
      <c r="A157" t="s">
        <v>55</v>
      </c>
      <c r="B157" s="2">
        <v>45806</v>
      </c>
      <c r="C157" s="1">
        <v>0.40726851851851853</v>
      </c>
    </row>
    <row r="158" spans="1:3" x14ac:dyDescent="0.3">
      <c r="A158" t="s">
        <v>16</v>
      </c>
      <c r="B158" s="2">
        <v>45806</v>
      </c>
      <c r="C158" s="1">
        <v>0.50222222222222224</v>
      </c>
    </row>
    <row r="159" spans="1:3" x14ac:dyDescent="0.3">
      <c r="A159" t="s">
        <v>55</v>
      </c>
      <c r="B159" s="2">
        <v>45806</v>
      </c>
      <c r="C159" s="1">
        <v>0.5027314814814815</v>
      </c>
    </row>
    <row r="160" spans="1:3" x14ac:dyDescent="0.3">
      <c r="A160" t="s">
        <v>55</v>
      </c>
      <c r="B160" s="2">
        <v>45806</v>
      </c>
      <c r="C160" s="1">
        <v>0.50405092592592593</v>
      </c>
    </row>
    <row r="161" spans="1:3" x14ac:dyDescent="0.3">
      <c r="A161" t="s">
        <v>55</v>
      </c>
      <c r="B161" s="2">
        <v>45806</v>
      </c>
      <c r="C161" s="1">
        <v>0.57085648148148149</v>
      </c>
    </row>
    <row r="162" spans="1:3" x14ac:dyDescent="0.3">
      <c r="A162" t="s">
        <v>39</v>
      </c>
      <c r="B162" s="2">
        <v>45806</v>
      </c>
      <c r="C162" s="1">
        <v>0.66434027777777771</v>
      </c>
    </row>
    <row r="163" spans="1:3" x14ac:dyDescent="0.3">
      <c r="A163" t="s">
        <v>16</v>
      </c>
      <c r="B163" s="2">
        <v>45806</v>
      </c>
      <c r="C163" s="1">
        <v>0.66803240740740744</v>
      </c>
    </row>
    <row r="164" spans="1:3" x14ac:dyDescent="0.3">
      <c r="A164" t="s">
        <v>2</v>
      </c>
      <c r="B164" s="2">
        <v>45806</v>
      </c>
      <c r="C164" s="1">
        <v>0.69696759259259267</v>
      </c>
    </row>
    <row r="165" spans="1:3" x14ac:dyDescent="0.3">
      <c r="A165" t="s">
        <v>56</v>
      </c>
      <c r="B165" s="2">
        <v>45807</v>
      </c>
      <c r="C165" s="1">
        <v>0.3896296296296296</v>
      </c>
    </row>
    <row r="166" spans="1:3" x14ac:dyDescent="0.3">
      <c r="A166" t="s">
        <v>55</v>
      </c>
      <c r="B166" s="2">
        <v>45807</v>
      </c>
      <c r="C166" s="1">
        <v>0.43462962962962964</v>
      </c>
    </row>
    <row r="167" spans="1:3" x14ac:dyDescent="0.3">
      <c r="A167" t="s">
        <v>56</v>
      </c>
      <c r="B167" s="2">
        <v>45807</v>
      </c>
      <c r="C167" s="1">
        <v>0.45153935185185184</v>
      </c>
    </row>
    <row r="168" spans="1:3" x14ac:dyDescent="0.3">
      <c r="A168" t="s">
        <v>55</v>
      </c>
      <c r="B168" s="2">
        <v>45807</v>
      </c>
      <c r="C168" s="1">
        <v>0.50799768518518518</v>
      </c>
    </row>
    <row r="169" spans="1:3" x14ac:dyDescent="0.3">
      <c r="A169" t="s">
        <v>22</v>
      </c>
      <c r="B169" s="2">
        <v>45807</v>
      </c>
      <c r="C169" s="1">
        <v>0.53517361111111106</v>
      </c>
    </row>
    <row r="170" spans="1:3" x14ac:dyDescent="0.3">
      <c r="A170" t="s">
        <v>22</v>
      </c>
      <c r="B170" s="2">
        <v>45807</v>
      </c>
      <c r="C170" s="1">
        <v>0.54331018518518526</v>
      </c>
    </row>
    <row r="171" spans="1:3" x14ac:dyDescent="0.3">
      <c r="A171" t="s">
        <v>56</v>
      </c>
      <c r="B171" s="2">
        <v>45807</v>
      </c>
      <c r="C171" s="1">
        <v>0.56002314814814813</v>
      </c>
    </row>
    <row r="172" spans="1:3" x14ac:dyDescent="0.3">
      <c r="A172" t="s">
        <v>56</v>
      </c>
      <c r="B172" s="2">
        <v>45810</v>
      </c>
      <c r="C172" s="1">
        <v>0.37285879629629631</v>
      </c>
    </row>
    <row r="173" spans="1:3" x14ac:dyDescent="0.3">
      <c r="A173" t="s">
        <v>3</v>
      </c>
      <c r="B173" s="2">
        <v>45810</v>
      </c>
      <c r="C173" s="1">
        <v>0.51965277777777785</v>
      </c>
    </row>
    <row r="174" spans="1:3" x14ac:dyDescent="0.3">
      <c r="A174" t="s">
        <v>2</v>
      </c>
      <c r="B174" s="2">
        <v>45811</v>
      </c>
      <c r="C174" s="1">
        <v>0.72861111111111121</v>
      </c>
    </row>
    <row r="175" spans="1:3" x14ac:dyDescent="0.3">
      <c r="A175" t="s">
        <v>39</v>
      </c>
      <c r="B175" s="2">
        <v>45812</v>
      </c>
      <c r="C175" s="1">
        <v>0.39339120370370373</v>
      </c>
    </row>
    <row r="176" spans="1:3" x14ac:dyDescent="0.3">
      <c r="A176" t="s">
        <v>56</v>
      </c>
      <c r="B176" s="2">
        <v>45812</v>
      </c>
      <c r="C176" s="1">
        <v>0.63324074074074077</v>
      </c>
    </row>
    <row r="177" spans="1:3" x14ac:dyDescent="0.3">
      <c r="A177" t="s">
        <v>2</v>
      </c>
      <c r="B177" s="2">
        <v>45812</v>
      </c>
      <c r="C177" s="1">
        <v>0.63745370370370369</v>
      </c>
    </row>
    <row r="178" spans="1:3" x14ac:dyDescent="0.3">
      <c r="A178" t="s">
        <v>56</v>
      </c>
      <c r="B178" s="2">
        <v>45813</v>
      </c>
      <c r="C178" s="1">
        <v>0.32581018518518517</v>
      </c>
    </row>
    <row r="179" spans="1:3" x14ac:dyDescent="0.3">
      <c r="A179" t="s">
        <v>16</v>
      </c>
      <c r="B179" s="2">
        <v>45813</v>
      </c>
      <c r="C179" s="1">
        <v>0.44510416666666663</v>
      </c>
    </row>
    <row r="180" spans="1:3" x14ac:dyDescent="0.3">
      <c r="A180" t="s">
        <v>56</v>
      </c>
      <c r="B180" s="2">
        <v>45813</v>
      </c>
      <c r="C180" s="1">
        <v>0.47528935185185189</v>
      </c>
    </row>
    <row r="181" spans="1:3" x14ac:dyDescent="0.3">
      <c r="A181" t="s">
        <v>56</v>
      </c>
      <c r="B181" s="2">
        <v>45813</v>
      </c>
      <c r="C181" s="1">
        <v>0.48640046296296297</v>
      </c>
    </row>
    <row r="182" spans="1:3" x14ac:dyDescent="0.3">
      <c r="A182" t="s">
        <v>56</v>
      </c>
      <c r="B182" s="2">
        <v>45813</v>
      </c>
      <c r="C182" s="1">
        <v>0.58734953703703707</v>
      </c>
    </row>
    <row r="183" spans="1:3" x14ac:dyDescent="0.3">
      <c r="A183" t="s">
        <v>2</v>
      </c>
      <c r="B183" s="2">
        <v>45813</v>
      </c>
      <c r="C183" s="1">
        <v>0.69168981481481484</v>
      </c>
    </row>
    <row r="184" spans="1:3" x14ac:dyDescent="0.3">
      <c r="A184" t="s">
        <v>2</v>
      </c>
      <c r="B184" s="2">
        <v>45813</v>
      </c>
      <c r="C184" s="1">
        <v>0.70923611111111118</v>
      </c>
    </row>
    <row r="185" spans="1:3" x14ac:dyDescent="0.3">
      <c r="A185" t="s">
        <v>3</v>
      </c>
      <c r="B185" s="2">
        <v>45813</v>
      </c>
      <c r="C185" s="1">
        <v>0.73793981481481474</v>
      </c>
    </row>
    <row r="186" spans="1:3" x14ac:dyDescent="0.3">
      <c r="A186" t="s">
        <v>3</v>
      </c>
      <c r="B186" s="2">
        <v>45813</v>
      </c>
      <c r="C186" s="1">
        <v>0.78314814814814815</v>
      </c>
    </row>
    <row r="187" spans="1:3" x14ac:dyDescent="0.3">
      <c r="A187" t="s">
        <v>56</v>
      </c>
      <c r="B187" s="2">
        <v>45814</v>
      </c>
      <c r="C187" s="1">
        <v>0.35988425925925926</v>
      </c>
    </row>
    <row r="188" spans="1:3" x14ac:dyDescent="0.3">
      <c r="A188" t="s">
        <v>56</v>
      </c>
      <c r="B188" s="2">
        <v>45814</v>
      </c>
      <c r="C188" s="1">
        <v>0.42321759259259256</v>
      </c>
    </row>
    <row r="189" spans="1:3" x14ac:dyDescent="0.3">
      <c r="A189" t="s">
        <v>56</v>
      </c>
      <c r="B189" s="2">
        <v>45814</v>
      </c>
      <c r="C189" s="1">
        <v>0.54501157407407408</v>
      </c>
    </row>
    <row r="190" spans="1:3" x14ac:dyDescent="0.3">
      <c r="A190" t="s">
        <v>3</v>
      </c>
      <c r="B190" s="2">
        <v>45814</v>
      </c>
      <c r="C190" s="1">
        <v>0.70068287037037036</v>
      </c>
    </row>
    <row r="191" spans="1:3" x14ac:dyDescent="0.3">
      <c r="A191" t="s">
        <v>3</v>
      </c>
      <c r="B191" s="2">
        <v>45817</v>
      </c>
      <c r="C191" s="1">
        <v>0.44726851851851851</v>
      </c>
    </row>
    <row r="192" spans="1:3" x14ac:dyDescent="0.3">
      <c r="A192" t="s">
        <v>40</v>
      </c>
      <c r="B192" s="2">
        <v>45818</v>
      </c>
      <c r="C192" s="1">
        <v>0.49268518518518517</v>
      </c>
    </row>
    <row r="193" spans="1:3" x14ac:dyDescent="0.3">
      <c r="A193" t="s">
        <v>16</v>
      </c>
      <c r="B193" s="2">
        <v>45818</v>
      </c>
      <c r="C193" s="1">
        <v>0.67881944444444453</v>
      </c>
    </row>
    <row r="194" spans="1:3" x14ac:dyDescent="0.3">
      <c r="A194" t="s">
        <v>39</v>
      </c>
      <c r="B194" s="2">
        <v>45818</v>
      </c>
      <c r="C194" s="1">
        <v>0.6791666666666667</v>
      </c>
    </row>
    <row r="195" spans="1:3" x14ac:dyDescent="0.3">
      <c r="A195" t="s">
        <v>1</v>
      </c>
      <c r="B195" s="2">
        <v>45819</v>
      </c>
      <c r="C195" s="1">
        <v>0.46462962962962967</v>
      </c>
    </row>
    <row r="196" spans="1:3" x14ac:dyDescent="0.3">
      <c r="A196" t="s">
        <v>56</v>
      </c>
      <c r="B196" s="2">
        <v>45819</v>
      </c>
      <c r="C196" s="1">
        <v>0.58635416666666662</v>
      </c>
    </row>
    <row r="197" spans="1:3" x14ac:dyDescent="0.3">
      <c r="A197" t="s">
        <v>16</v>
      </c>
      <c r="B197" s="2">
        <v>45819</v>
      </c>
      <c r="C197" s="1">
        <v>0.6576157407407407</v>
      </c>
    </row>
    <row r="198" spans="1:3" x14ac:dyDescent="0.3">
      <c r="A198" t="s">
        <v>3</v>
      </c>
      <c r="B198" s="2">
        <v>45819</v>
      </c>
      <c r="C198" s="1">
        <v>0.66001157407407407</v>
      </c>
    </row>
    <row r="199" spans="1:3" x14ac:dyDescent="0.3">
      <c r="A199" t="s">
        <v>2</v>
      </c>
      <c r="B199" s="2">
        <v>45820</v>
      </c>
      <c r="C199" s="1">
        <v>0.36753472222222222</v>
      </c>
    </row>
    <row r="200" spans="1:3" x14ac:dyDescent="0.3">
      <c r="A200" t="s">
        <v>56</v>
      </c>
      <c r="B200" s="2">
        <v>45820</v>
      </c>
      <c r="C200" s="1">
        <v>0.49899305555555556</v>
      </c>
    </row>
    <row r="201" spans="1:3" x14ac:dyDescent="0.3">
      <c r="A201" t="s">
        <v>2</v>
      </c>
      <c r="B201" s="2">
        <v>45820</v>
      </c>
      <c r="C201" s="1">
        <v>0.50940972222222225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100E0-9D68-476E-AEE9-7F8E7AA4E374}">
  <sheetPr codeName="Sheet10"/>
  <dimension ref="A1:D48"/>
  <sheetViews>
    <sheetView workbookViewId="0">
      <selection activeCell="G10" sqref="G10"/>
    </sheetView>
  </sheetViews>
  <sheetFormatPr defaultRowHeight="14.4" x14ac:dyDescent="0.3"/>
  <cols>
    <col min="1" max="1" width="11" customWidth="1"/>
    <col min="2" max="2" width="12.6640625" customWidth="1"/>
    <col min="3" max="3" width="10" customWidth="1"/>
    <col min="4" max="4" width="10.44140625" customWidth="1"/>
  </cols>
  <sheetData>
    <row r="1" spans="1:4" x14ac:dyDescent="0.3">
      <c r="A1" t="s">
        <v>5</v>
      </c>
      <c r="B1" t="s">
        <v>6</v>
      </c>
      <c r="C1" t="s">
        <v>7</v>
      </c>
      <c r="D1" t="s">
        <v>14</v>
      </c>
    </row>
    <row r="2" spans="1:4" x14ac:dyDescent="0.3">
      <c r="A2" t="s">
        <v>1</v>
      </c>
      <c r="B2" s="2">
        <v>45721</v>
      </c>
      <c r="C2" s="1">
        <v>0.39598379629629626</v>
      </c>
      <c r="D2">
        <v>0</v>
      </c>
    </row>
    <row r="3" spans="1:4" x14ac:dyDescent="0.3">
      <c r="A3" t="s">
        <v>1</v>
      </c>
      <c r="B3" s="2">
        <v>45721</v>
      </c>
      <c r="C3" s="1">
        <v>0.56025462962962969</v>
      </c>
      <c r="D3">
        <v>0</v>
      </c>
    </row>
    <row r="4" spans="1:4" x14ac:dyDescent="0.3">
      <c r="A4" t="s">
        <v>16</v>
      </c>
      <c r="B4" s="2">
        <v>45728</v>
      </c>
      <c r="C4" s="1">
        <v>0.60210648148148149</v>
      </c>
      <c r="D4">
        <v>4</v>
      </c>
    </row>
    <row r="5" spans="1:4" x14ac:dyDescent="0.3">
      <c r="A5" t="s">
        <v>16</v>
      </c>
      <c r="B5" s="2">
        <v>45728</v>
      </c>
      <c r="C5" s="1">
        <v>0.68164351851851857</v>
      </c>
      <c r="D5">
        <v>6</v>
      </c>
    </row>
    <row r="6" spans="1:4" x14ac:dyDescent="0.3">
      <c r="A6" t="s">
        <v>16</v>
      </c>
      <c r="B6" s="2">
        <v>45729</v>
      </c>
      <c r="C6" s="1">
        <v>0.66325231481481484</v>
      </c>
      <c r="D6">
        <v>6</v>
      </c>
    </row>
    <row r="7" spans="1:4" x14ac:dyDescent="0.3">
      <c r="A7" t="s">
        <v>16</v>
      </c>
      <c r="B7" s="2">
        <v>45734</v>
      </c>
      <c r="C7" s="1">
        <v>0.71725694444444443</v>
      </c>
      <c r="D7">
        <v>8</v>
      </c>
    </row>
    <row r="8" spans="1:4" x14ac:dyDescent="0.3">
      <c r="A8" t="s">
        <v>1</v>
      </c>
      <c r="B8" s="2">
        <v>45736</v>
      </c>
      <c r="C8" s="1">
        <v>0.49869212962962961</v>
      </c>
      <c r="D8">
        <v>0</v>
      </c>
    </row>
    <row r="9" spans="1:4" x14ac:dyDescent="0.3">
      <c r="A9" t="s">
        <v>1</v>
      </c>
      <c r="B9" s="2">
        <v>45758</v>
      </c>
      <c r="C9" s="1">
        <v>0.48942129629629627</v>
      </c>
      <c r="D9">
        <v>4</v>
      </c>
    </row>
    <row r="10" spans="1:4" x14ac:dyDescent="0.3">
      <c r="A10" t="s">
        <v>53</v>
      </c>
      <c r="B10" s="2">
        <v>45763</v>
      </c>
      <c r="C10" s="1">
        <v>0.43442129629629633</v>
      </c>
      <c r="D10">
        <v>0</v>
      </c>
    </row>
    <row r="11" spans="1:4" x14ac:dyDescent="0.3">
      <c r="A11" t="s">
        <v>53</v>
      </c>
      <c r="B11" s="2">
        <v>45763</v>
      </c>
      <c r="C11" s="1">
        <v>0.43716435185185182</v>
      </c>
      <c r="D11">
        <v>0</v>
      </c>
    </row>
    <row r="12" spans="1:4" x14ac:dyDescent="0.3">
      <c r="A12" t="s">
        <v>53</v>
      </c>
      <c r="B12" s="2">
        <v>45763</v>
      </c>
      <c r="C12" s="1">
        <v>0.44885416666666672</v>
      </c>
      <c r="D12">
        <v>10</v>
      </c>
    </row>
    <row r="13" spans="1:4" x14ac:dyDescent="0.3">
      <c r="A13" t="s">
        <v>53</v>
      </c>
      <c r="B13" s="2">
        <v>45763</v>
      </c>
      <c r="C13" s="1">
        <v>0.44899305555555552</v>
      </c>
      <c r="D13">
        <v>10</v>
      </c>
    </row>
    <row r="14" spans="1:4" x14ac:dyDescent="0.3">
      <c r="A14" t="s">
        <v>1</v>
      </c>
      <c r="B14" s="2">
        <v>45763</v>
      </c>
      <c r="C14" s="1">
        <v>0.46200231481481485</v>
      </c>
      <c r="D14">
        <v>0</v>
      </c>
    </row>
    <row r="15" spans="1:4" x14ac:dyDescent="0.3">
      <c r="A15" t="s">
        <v>53</v>
      </c>
      <c r="B15" s="2">
        <v>45763</v>
      </c>
      <c r="C15" s="1">
        <v>0.65422453703703709</v>
      </c>
      <c r="D15">
        <v>10</v>
      </c>
    </row>
    <row r="16" spans="1:4" x14ac:dyDescent="0.3">
      <c r="A16" t="s">
        <v>53</v>
      </c>
      <c r="B16" s="2">
        <v>45763</v>
      </c>
      <c r="C16" s="1">
        <v>0.65436342592592589</v>
      </c>
      <c r="D16">
        <v>9</v>
      </c>
    </row>
    <row r="17" spans="1:4" x14ac:dyDescent="0.3">
      <c r="A17" t="s">
        <v>1</v>
      </c>
      <c r="B17" s="2">
        <v>45764</v>
      </c>
      <c r="C17" s="1">
        <v>0.50807870370370367</v>
      </c>
      <c r="D17">
        <v>0</v>
      </c>
    </row>
    <row r="18" spans="1:4" x14ac:dyDescent="0.3">
      <c r="A18" t="s">
        <v>1</v>
      </c>
      <c r="B18" s="2">
        <v>45764</v>
      </c>
      <c r="C18" s="1">
        <v>0.50953703703703701</v>
      </c>
      <c r="D18">
        <v>0</v>
      </c>
    </row>
    <row r="19" spans="1:4" x14ac:dyDescent="0.3">
      <c r="A19" t="s">
        <v>1</v>
      </c>
      <c r="B19" s="2">
        <v>45764</v>
      </c>
      <c r="C19" s="1">
        <v>0.51143518518518516</v>
      </c>
      <c r="D19">
        <v>0</v>
      </c>
    </row>
    <row r="20" spans="1:4" x14ac:dyDescent="0.3">
      <c r="A20" t="s">
        <v>1</v>
      </c>
      <c r="B20" s="2">
        <v>45764</v>
      </c>
      <c r="C20" s="1">
        <v>0.51151620370370365</v>
      </c>
      <c r="D20">
        <v>0</v>
      </c>
    </row>
    <row r="21" spans="1:4" x14ac:dyDescent="0.3">
      <c r="A21" t="s">
        <v>1</v>
      </c>
      <c r="B21" s="2">
        <v>45764</v>
      </c>
      <c r="C21" s="1">
        <v>0.51268518518518513</v>
      </c>
      <c r="D21">
        <v>0</v>
      </c>
    </row>
    <row r="22" spans="1:4" x14ac:dyDescent="0.3">
      <c r="A22" t="s">
        <v>1</v>
      </c>
      <c r="B22" s="2">
        <v>45764</v>
      </c>
      <c r="C22" s="1">
        <v>0.51275462962962959</v>
      </c>
      <c r="D22">
        <v>0</v>
      </c>
    </row>
    <row r="23" spans="1:4" x14ac:dyDescent="0.3">
      <c r="A23" t="s">
        <v>1</v>
      </c>
      <c r="B23" s="2">
        <v>45764</v>
      </c>
      <c r="C23" s="1">
        <v>0.51293981481481488</v>
      </c>
      <c r="D23">
        <v>0</v>
      </c>
    </row>
    <row r="24" spans="1:4" x14ac:dyDescent="0.3">
      <c r="A24" t="s">
        <v>1</v>
      </c>
      <c r="B24" s="2">
        <v>45764</v>
      </c>
      <c r="C24" s="1">
        <v>0.51307870370370368</v>
      </c>
      <c r="D24">
        <v>0</v>
      </c>
    </row>
    <row r="25" spans="1:4" x14ac:dyDescent="0.3">
      <c r="A25" t="s">
        <v>1</v>
      </c>
      <c r="B25" s="2">
        <v>45764</v>
      </c>
      <c r="C25" s="1">
        <v>0.51361111111111113</v>
      </c>
      <c r="D25">
        <v>0</v>
      </c>
    </row>
    <row r="26" spans="1:4" x14ac:dyDescent="0.3">
      <c r="A26" t="s">
        <v>1</v>
      </c>
      <c r="B26" s="2">
        <v>45764</v>
      </c>
      <c r="C26" s="1">
        <v>0.5136574074074074</v>
      </c>
      <c r="D26">
        <v>0</v>
      </c>
    </row>
    <row r="27" spans="1:4" x14ac:dyDescent="0.3">
      <c r="A27" t="s">
        <v>1</v>
      </c>
      <c r="B27" s="2">
        <v>45764</v>
      </c>
      <c r="C27" s="1">
        <v>0.51421296296296293</v>
      </c>
      <c r="D27">
        <v>0</v>
      </c>
    </row>
    <row r="28" spans="1:4" x14ac:dyDescent="0.3">
      <c r="A28" t="s">
        <v>54</v>
      </c>
      <c r="B28" s="2">
        <v>45764</v>
      </c>
      <c r="C28" s="1">
        <v>0.56230324074074078</v>
      </c>
      <c r="D28">
        <v>0</v>
      </c>
    </row>
    <row r="29" spans="1:4" x14ac:dyDescent="0.3">
      <c r="A29" t="s">
        <v>54</v>
      </c>
      <c r="B29" s="2">
        <v>45764</v>
      </c>
      <c r="C29" s="1">
        <v>0.56399305555555557</v>
      </c>
      <c r="D29">
        <v>0</v>
      </c>
    </row>
    <row r="30" spans="1:4" x14ac:dyDescent="0.3">
      <c r="A30" t="s">
        <v>1</v>
      </c>
      <c r="B30" s="2">
        <v>45768</v>
      </c>
      <c r="C30" s="1">
        <v>0.55726851851851855</v>
      </c>
      <c r="D30">
        <v>0</v>
      </c>
    </row>
    <row r="31" spans="1:4" x14ac:dyDescent="0.3">
      <c r="A31" t="s">
        <v>1</v>
      </c>
      <c r="B31" s="2">
        <v>45768</v>
      </c>
      <c r="C31" s="1">
        <v>0.55815972222222221</v>
      </c>
      <c r="D31">
        <v>0</v>
      </c>
    </row>
    <row r="32" spans="1:4" x14ac:dyDescent="0.3">
      <c r="A32" t="s">
        <v>1</v>
      </c>
      <c r="B32" s="2">
        <v>45768</v>
      </c>
      <c r="C32" s="1">
        <v>0.61077546296296303</v>
      </c>
      <c r="D32">
        <v>0</v>
      </c>
    </row>
    <row r="33" spans="1:4" x14ac:dyDescent="0.3">
      <c r="A33" t="s">
        <v>39</v>
      </c>
      <c r="B33" s="2">
        <v>45769</v>
      </c>
      <c r="C33" s="1">
        <v>0.52196759259259262</v>
      </c>
      <c r="D33">
        <v>8</v>
      </c>
    </row>
    <row r="34" spans="1:4" x14ac:dyDescent="0.3">
      <c r="A34" t="s">
        <v>1</v>
      </c>
      <c r="B34" s="2">
        <v>45770</v>
      </c>
      <c r="C34" s="1">
        <v>0.56515046296296301</v>
      </c>
      <c r="D34">
        <v>0</v>
      </c>
    </row>
    <row r="35" spans="1:4" x14ac:dyDescent="0.3">
      <c r="A35" t="s">
        <v>16</v>
      </c>
      <c r="B35" s="2">
        <v>45770</v>
      </c>
      <c r="C35" s="1">
        <v>0.66696759259259253</v>
      </c>
      <c r="D35">
        <v>8</v>
      </c>
    </row>
    <row r="36" spans="1:4" x14ac:dyDescent="0.3">
      <c r="A36" t="s">
        <v>1</v>
      </c>
      <c r="B36" s="2">
        <v>45771</v>
      </c>
      <c r="C36" s="1">
        <v>0.40631944444444446</v>
      </c>
      <c r="D36">
        <v>0</v>
      </c>
    </row>
    <row r="37" spans="1:4" x14ac:dyDescent="0.3">
      <c r="A37" t="s">
        <v>55</v>
      </c>
      <c r="B37" s="2">
        <v>45772</v>
      </c>
      <c r="C37" s="1">
        <v>0.55329861111111112</v>
      </c>
      <c r="D37">
        <v>0</v>
      </c>
    </row>
    <row r="38" spans="1:4" x14ac:dyDescent="0.3">
      <c r="A38" t="s">
        <v>1</v>
      </c>
      <c r="B38" s="2">
        <v>45775</v>
      </c>
      <c r="C38" s="1">
        <v>0.50519675925925933</v>
      </c>
      <c r="D38">
        <v>0</v>
      </c>
    </row>
    <row r="39" spans="1:4" x14ac:dyDescent="0.3">
      <c r="A39" t="s">
        <v>1</v>
      </c>
      <c r="B39" s="2">
        <v>45775</v>
      </c>
      <c r="C39" s="1">
        <v>0.50701388888888888</v>
      </c>
      <c r="D39">
        <v>1</v>
      </c>
    </row>
    <row r="40" spans="1:4" x14ac:dyDescent="0.3">
      <c r="A40" t="s">
        <v>40</v>
      </c>
      <c r="B40" s="2">
        <v>45775</v>
      </c>
      <c r="C40" s="1">
        <v>0.56747685185185182</v>
      </c>
      <c r="D40">
        <v>33</v>
      </c>
    </row>
    <row r="41" spans="1:4" x14ac:dyDescent="0.3">
      <c r="A41" t="s">
        <v>54</v>
      </c>
      <c r="B41" s="2">
        <v>45775</v>
      </c>
      <c r="C41" s="1">
        <v>0.61946759259259265</v>
      </c>
      <c r="D41">
        <v>11</v>
      </c>
    </row>
    <row r="42" spans="1:4" x14ac:dyDescent="0.3">
      <c r="A42" t="s">
        <v>54</v>
      </c>
      <c r="B42" s="2">
        <v>45775</v>
      </c>
      <c r="C42" s="1">
        <v>0.62027777777777782</v>
      </c>
      <c r="D42">
        <v>0</v>
      </c>
    </row>
    <row r="43" spans="1:4" x14ac:dyDescent="0.3">
      <c r="A43" t="s">
        <v>40</v>
      </c>
      <c r="B43" s="2">
        <v>45779</v>
      </c>
      <c r="C43" s="1">
        <v>0.5372569444444445</v>
      </c>
      <c r="D43">
        <v>0</v>
      </c>
    </row>
    <row r="44" spans="1:4" x14ac:dyDescent="0.3">
      <c r="A44" t="s">
        <v>2</v>
      </c>
      <c r="B44" s="2">
        <v>45799</v>
      </c>
      <c r="C44" s="1">
        <v>0.69975694444444436</v>
      </c>
      <c r="D44">
        <v>0</v>
      </c>
    </row>
    <row r="45" spans="1:4" x14ac:dyDescent="0.3">
      <c r="A45" t="s">
        <v>2</v>
      </c>
      <c r="B45" s="2">
        <v>45805</v>
      </c>
      <c r="C45" s="1">
        <v>0.4760416666666667</v>
      </c>
      <c r="D45">
        <v>12</v>
      </c>
    </row>
    <row r="46" spans="1:4" x14ac:dyDescent="0.3">
      <c r="A46" t="s">
        <v>1</v>
      </c>
      <c r="B46" s="2">
        <v>45805</v>
      </c>
      <c r="C46" s="1">
        <v>0.57164351851851858</v>
      </c>
      <c r="D46">
        <v>6</v>
      </c>
    </row>
    <row r="47" spans="1:4" x14ac:dyDescent="0.3">
      <c r="A47" t="s">
        <v>39</v>
      </c>
      <c r="B47" s="2">
        <v>45805</v>
      </c>
      <c r="C47" s="1">
        <v>0.67112268518518514</v>
      </c>
      <c r="D47">
        <v>10</v>
      </c>
    </row>
    <row r="48" spans="1:4" x14ac:dyDescent="0.3">
      <c r="A48" t="s">
        <v>2</v>
      </c>
      <c r="B48" s="2">
        <v>45806</v>
      </c>
      <c r="C48" s="1">
        <v>0.69731481481481483</v>
      </c>
      <c r="D48">
        <v>10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3F52B-2BC3-4103-A199-C95254C2BD82}">
  <sheetPr codeName="Sheet12"/>
  <dimension ref="A1:D192"/>
  <sheetViews>
    <sheetView workbookViewId="0">
      <selection activeCell="A25" sqref="A24:A25"/>
    </sheetView>
  </sheetViews>
  <sheetFormatPr defaultRowHeight="14.4" x14ac:dyDescent="0.3"/>
  <cols>
    <col min="1" max="1" width="11" customWidth="1"/>
    <col min="2" max="2" width="12.6640625" customWidth="1"/>
    <col min="3" max="3" width="10" customWidth="1"/>
  </cols>
  <sheetData>
    <row r="1" spans="1:4" x14ac:dyDescent="0.3">
      <c r="A1" t="s">
        <v>5</v>
      </c>
      <c r="B1" t="s">
        <v>6</v>
      </c>
      <c r="C1" t="s">
        <v>7</v>
      </c>
      <c r="D1" t="s">
        <v>14</v>
      </c>
    </row>
    <row r="2" spans="1:4" x14ac:dyDescent="0.3">
      <c r="A2" t="s">
        <v>1</v>
      </c>
      <c r="B2" s="2">
        <v>45721</v>
      </c>
      <c r="C2" s="1">
        <v>0.56134259259259256</v>
      </c>
      <c r="D2">
        <v>16</v>
      </c>
    </row>
    <row r="3" spans="1:4" x14ac:dyDescent="0.3">
      <c r="A3" t="s">
        <v>1</v>
      </c>
      <c r="B3" s="2">
        <v>45728</v>
      </c>
      <c r="C3" s="1">
        <v>0.59689814814814812</v>
      </c>
      <c r="D3">
        <v>6</v>
      </c>
    </row>
    <row r="4" spans="1:4" x14ac:dyDescent="0.3">
      <c r="A4" t="s">
        <v>1</v>
      </c>
      <c r="B4" s="2">
        <v>45728</v>
      </c>
      <c r="C4" s="1">
        <v>0.59703703703703703</v>
      </c>
      <c r="D4">
        <v>6</v>
      </c>
    </row>
    <row r="5" spans="1:4" x14ac:dyDescent="0.3">
      <c r="A5" t="s">
        <v>16</v>
      </c>
      <c r="B5" s="2">
        <v>45728</v>
      </c>
      <c r="C5" s="1">
        <v>0.60311342592592598</v>
      </c>
      <c r="D5">
        <v>4</v>
      </c>
    </row>
    <row r="6" spans="1:4" x14ac:dyDescent="0.3">
      <c r="A6" t="s">
        <v>16</v>
      </c>
      <c r="B6" s="2">
        <v>45728</v>
      </c>
      <c r="C6" s="1">
        <v>0.60386574074074073</v>
      </c>
      <c r="D6">
        <v>4</v>
      </c>
    </row>
    <row r="7" spans="1:4" x14ac:dyDescent="0.3">
      <c r="A7" t="s">
        <v>1</v>
      </c>
      <c r="B7" s="2">
        <v>45728</v>
      </c>
      <c r="C7" s="1">
        <v>0.60571759259259261</v>
      </c>
      <c r="D7">
        <v>7</v>
      </c>
    </row>
    <row r="8" spans="1:4" x14ac:dyDescent="0.3">
      <c r="A8" t="s">
        <v>1</v>
      </c>
      <c r="B8" s="2">
        <v>45728</v>
      </c>
      <c r="C8" s="1">
        <v>0.60579861111111111</v>
      </c>
      <c r="D8">
        <v>7</v>
      </c>
    </row>
    <row r="9" spans="1:4" x14ac:dyDescent="0.3">
      <c r="A9" t="s">
        <v>16</v>
      </c>
      <c r="B9" s="2">
        <v>45728</v>
      </c>
      <c r="C9" s="1">
        <v>0.68212962962962964</v>
      </c>
      <c r="D9">
        <v>6</v>
      </c>
    </row>
    <row r="10" spans="1:4" x14ac:dyDescent="0.3">
      <c r="A10" t="s">
        <v>16</v>
      </c>
      <c r="B10" s="2">
        <v>45728</v>
      </c>
      <c r="C10" s="1">
        <v>0.68230324074074078</v>
      </c>
      <c r="D10">
        <v>6</v>
      </c>
    </row>
    <row r="11" spans="1:4" x14ac:dyDescent="0.3">
      <c r="A11" t="s">
        <v>16</v>
      </c>
      <c r="B11" s="2">
        <v>45729</v>
      </c>
      <c r="C11" s="1">
        <v>0.6645833333333333</v>
      </c>
      <c r="D11">
        <v>6</v>
      </c>
    </row>
    <row r="12" spans="1:4" x14ac:dyDescent="0.3">
      <c r="A12" t="s">
        <v>16</v>
      </c>
      <c r="B12" s="2">
        <v>45734</v>
      </c>
      <c r="C12" s="1">
        <v>0.71788194444444453</v>
      </c>
      <c r="D12">
        <v>8</v>
      </c>
    </row>
    <row r="13" spans="1:4" x14ac:dyDescent="0.3">
      <c r="A13" t="s">
        <v>16</v>
      </c>
      <c r="B13" s="2">
        <v>45734</v>
      </c>
      <c r="C13" s="1">
        <v>0.71870370370370373</v>
      </c>
      <c r="D13">
        <v>8</v>
      </c>
    </row>
    <row r="14" spans="1:4" x14ac:dyDescent="0.3">
      <c r="A14" t="s">
        <v>1</v>
      </c>
      <c r="B14" s="2">
        <v>45736</v>
      </c>
      <c r="C14" s="1">
        <v>0.50015046296296295</v>
      </c>
      <c r="D14">
        <v>4</v>
      </c>
    </row>
    <row r="15" spans="1:4" x14ac:dyDescent="0.3">
      <c r="A15" t="s">
        <v>1</v>
      </c>
      <c r="B15" s="2">
        <v>45736</v>
      </c>
      <c r="C15" s="1">
        <v>0.50339120370370372</v>
      </c>
      <c r="D15">
        <v>3</v>
      </c>
    </row>
    <row r="16" spans="1:4" x14ac:dyDescent="0.3">
      <c r="A16" t="s">
        <v>16</v>
      </c>
      <c r="B16" s="2">
        <v>45743</v>
      </c>
      <c r="C16" s="1">
        <v>0.68175925925925929</v>
      </c>
      <c r="D16">
        <v>8</v>
      </c>
    </row>
    <row r="17" spans="1:4" x14ac:dyDescent="0.3">
      <c r="A17" t="s">
        <v>1</v>
      </c>
      <c r="B17" s="2">
        <v>45758</v>
      </c>
      <c r="C17" s="1">
        <v>0.48995370370370367</v>
      </c>
      <c r="D17">
        <v>4</v>
      </c>
    </row>
    <row r="18" spans="1:4" x14ac:dyDescent="0.3">
      <c r="A18" t="s">
        <v>1</v>
      </c>
      <c r="B18" s="2">
        <v>45758</v>
      </c>
      <c r="C18" s="1">
        <v>0.49343749999999997</v>
      </c>
      <c r="D18">
        <v>4</v>
      </c>
    </row>
    <row r="19" spans="1:4" x14ac:dyDescent="0.3">
      <c r="A19" t="s">
        <v>58</v>
      </c>
      <c r="B19" s="2">
        <v>45763</v>
      </c>
      <c r="C19" s="1">
        <v>0.45987268518518515</v>
      </c>
      <c r="D19">
        <v>5</v>
      </c>
    </row>
    <row r="20" spans="1:4" x14ac:dyDescent="0.3">
      <c r="A20" t="s">
        <v>58</v>
      </c>
      <c r="B20" s="2">
        <v>45763</v>
      </c>
      <c r="C20" s="1">
        <v>0.46052083333333332</v>
      </c>
      <c r="D20">
        <v>5</v>
      </c>
    </row>
    <row r="21" spans="1:4" x14ac:dyDescent="0.3">
      <c r="A21" t="s">
        <v>1</v>
      </c>
      <c r="B21" s="2">
        <v>45763</v>
      </c>
      <c r="C21" s="1">
        <v>0.46256944444444442</v>
      </c>
      <c r="D21">
        <v>3</v>
      </c>
    </row>
    <row r="22" spans="1:4" x14ac:dyDescent="0.3">
      <c r="A22" t="s">
        <v>53</v>
      </c>
      <c r="B22" s="2">
        <v>45763</v>
      </c>
      <c r="C22" s="1">
        <v>0.65467592592592594</v>
      </c>
      <c r="D22">
        <v>9</v>
      </c>
    </row>
    <row r="23" spans="1:4" x14ac:dyDescent="0.3">
      <c r="A23" t="s">
        <v>54</v>
      </c>
      <c r="B23" s="2">
        <v>45764</v>
      </c>
      <c r="C23" s="1">
        <v>0.56413194444444448</v>
      </c>
      <c r="D23">
        <v>2</v>
      </c>
    </row>
    <row r="24" spans="1:4" x14ac:dyDescent="0.3">
      <c r="A24" t="s">
        <v>1</v>
      </c>
      <c r="B24" s="2">
        <v>45768</v>
      </c>
      <c r="C24" s="1">
        <v>0.55876157407407401</v>
      </c>
      <c r="D24">
        <v>10</v>
      </c>
    </row>
    <row r="25" spans="1:4" x14ac:dyDescent="0.3">
      <c r="A25" t="s">
        <v>1</v>
      </c>
      <c r="B25" s="2">
        <v>45768</v>
      </c>
      <c r="C25" s="1">
        <v>0.61136574074074079</v>
      </c>
      <c r="D25">
        <v>10</v>
      </c>
    </row>
    <row r="26" spans="1:4" x14ac:dyDescent="0.3">
      <c r="A26" t="s">
        <v>59</v>
      </c>
      <c r="B26" s="2">
        <v>45769</v>
      </c>
      <c r="C26" s="1">
        <v>0.41506944444444444</v>
      </c>
      <c r="D26">
        <v>5</v>
      </c>
    </row>
    <row r="27" spans="1:4" x14ac:dyDescent="0.3">
      <c r="A27" t="s">
        <v>59</v>
      </c>
      <c r="B27" s="2">
        <v>45769</v>
      </c>
      <c r="C27" s="1">
        <v>0.41585648148148152</v>
      </c>
      <c r="D27">
        <v>5</v>
      </c>
    </row>
    <row r="28" spans="1:4" x14ac:dyDescent="0.3">
      <c r="A28" t="s">
        <v>39</v>
      </c>
      <c r="B28" s="2">
        <v>45769</v>
      </c>
      <c r="C28" s="1">
        <v>0.52259259259259261</v>
      </c>
      <c r="D28">
        <v>8</v>
      </c>
    </row>
    <row r="29" spans="1:4" x14ac:dyDescent="0.3">
      <c r="A29" t="s">
        <v>1</v>
      </c>
      <c r="B29" s="2">
        <v>45770</v>
      </c>
      <c r="C29" s="1">
        <v>0.57293981481481482</v>
      </c>
      <c r="D29">
        <v>10</v>
      </c>
    </row>
    <row r="30" spans="1:4" x14ac:dyDescent="0.3">
      <c r="A30" t="s">
        <v>1</v>
      </c>
      <c r="B30" s="2">
        <v>45770</v>
      </c>
      <c r="C30" s="1">
        <v>0.57319444444444445</v>
      </c>
      <c r="D30">
        <v>11</v>
      </c>
    </row>
    <row r="31" spans="1:4" x14ac:dyDescent="0.3">
      <c r="A31" t="s">
        <v>1</v>
      </c>
      <c r="B31" s="2">
        <v>45770</v>
      </c>
      <c r="C31" s="1">
        <v>0.5863194444444445</v>
      </c>
      <c r="D31">
        <v>10</v>
      </c>
    </row>
    <row r="32" spans="1:4" x14ac:dyDescent="0.3">
      <c r="A32" t="s">
        <v>1</v>
      </c>
      <c r="B32" s="2">
        <v>45770</v>
      </c>
      <c r="C32" s="1">
        <v>0.58659722222222221</v>
      </c>
      <c r="D32">
        <v>10</v>
      </c>
    </row>
    <row r="33" spans="1:4" x14ac:dyDescent="0.3">
      <c r="A33" t="s">
        <v>16</v>
      </c>
      <c r="B33" s="2">
        <v>45770</v>
      </c>
      <c r="C33" s="1">
        <v>0.66711805555555559</v>
      </c>
      <c r="D33">
        <v>8</v>
      </c>
    </row>
    <row r="34" spans="1:4" x14ac:dyDescent="0.3">
      <c r="A34" t="s">
        <v>1</v>
      </c>
      <c r="B34" s="2">
        <v>45771</v>
      </c>
      <c r="C34" s="1">
        <v>0.40692129629629631</v>
      </c>
      <c r="D34">
        <v>10</v>
      </c>
    </row>
    <row r="35" spans="1:4" x14ac:dyDescent="0.3">
      <c r="A35" t="s">
        <v>55</v>
      </c>
      <c r="B35" s="2">
        <v>45772</v>
      </c>
      <c r="C35" s="1">
        <v>0.5541666666666667</v>
      </c>
      <c r="D35">
        <v>3</v>
      </c>
    </row>
    <row r="36" spans="1:4" x14ac:dyDescent="0.3">
      <c r="A36" t="s">
        <v>55</v>
      </c>
      <c r="B36" s="2">
        <v>45772</v>
      </c>
      <c r="C36" s="1">
        <v>0.5607523148148148</v>
      </c>
      <c r="D36">
        <v>3</v>
      </c>
    </row>
    <row r="37" spans="1:4" x14ac:dyDescent="0.3">
      <c r="A37" t="s">
        <v>55</v>
      </c>
      <c r="B37" s="2">
        <v>45772</v>
      </c>
      <c r="C37" s="1">
        <v>0.57212962962962965</v>
      </c>
      <c r="D37">
        <v>3</v>
      </c>
    </row>
    <row r="38" spans="1:4" x14ac:dyDescent="0.3">
      <c r="A38" t="s">
        <v>1</v>
      </c>
      <c r="B38" s="2">
        <v>45772</v>
      </c>
      <c r="C38" s="1">
        <v>0.60540509259259256</v>
      </c>
      <c r="D38">
        <v>10</v>
      </c>
    </row>
    <row r="39" spans="1:4" x14ac:dyDescent="0.3">
      <c r="A39" t="s">
        <v>3</v>
      </c>
      <c r="B39" s="2">
        <v>45775</v>
      </c>
      <c r="C39" s="1">
        <v>0.49672453703703701</v>
      </c>
      <c r="D39">
        <v>6</v>
      </c>
    </row>
    <row r="40" spans="1:4" x14ac:dyDescent="0.3">
      <c r="A40" t="s">
        <v>3</v>
      </c>
      <c r="B40" s="2">
        <v>45775</v>
      </c>
      <c r="C40" s="1">
        <v>0.49775462962962963</v>
      </c>
      <c r="D40">
        <v>4</v>
      </c>
    </row>
    <row r="41" spans="1:4" x14ac:dyDescent="0.3">
      <c r="A41" t="s">
        <v>1</v>
      </c>
      <c r="B41" s="2">
        <v>45775</v>
      </c>
      <c r="C41" s="1">
        <v>0.50668981481481479</v>
      </c>
      <c r="D41">
        <v>1</v>
      </c>
    </row>
    <row r="42" spans="1:4" x14ac:dyDescent="0.3">
      <c r="A42" t="s">
        <v>1</v>
      </c>
      <c r="B42" s="2">
        <v>45775</v>
      </c>
      <c r="C42" s="1">
        <v>0.50896990740740744</v>
      </c>
      <c r="D42">
        <v>1</v>
      </c>
    </row>
    <row r="43" spans="1:4" x14ac:dyDescent="0.3">
      <c r="A43" t="s">
        <v>40</v>
      </c>
      <c r="B43" s="2">
        <v>45775</v>
      </c>
      <c r="C43" s="1">
        <v>0.56843750000000004</v>
      </c>
      <c r="D43">
        <v>3</v>
      </c>
    </row>
    <row r="44" spans="1:4" x14ac:dyDescent="0.3">
      <c r="A44" t="s">
        <v>54</v>
      </c>
      <c r="B44" s="2">
        <v>45775</v>
      </c>
      <c r="C44" s="1">
        <v>0.57092592592592595</v>
      </c>
      <c r="D44">
        <v>20</v>
      </c>
    </row>
    <row r="45" spans="1:4" x14ac:dyDescent="0.3">
      <c r="A45" t="s">
        <v>54</v>
      </c>
      <c r="B45" s="2">
        <v>45775</v>
      </c>
      <c r="C45" s="1">
        <v>0.58002314814814815</v>
      </c>
      <c r="D45">
        <v>20</v>
      </c>
    </row>
    <row r="46" spans="1:4" x14ac:dyDescent="0.3">
      <c r="A46" t="s">
        <v>54</v>
      </c>
      <c r="B46" s="2">
        <v>45775</v>
      </c>
      <c r="C46" s="1">
        <v>0.58040509259259265</v>
      </c>
      <c r="D46">
        <v>20</v>
      </c>
    </row>
    <row r="47" spans="1:4" x14ac:dyDescent="0.3">
      <c r="A47" t="s">
        <v>54</v>
      </c>
      <c r="B47" s="2">
        <v>45775</v>
      </c>
      <c r="C47" s="1">
        <v>0.61839120370370371</v>
      </c>
      <c r="D47">
        <v>11</v>
      </c>
    </row>
    <row r="48" spans="1:4" x14ac:dyDescent="0.3">
      <c r="A48" t="s">
        <v>54</v>
      </c>
      <c r="B48" s="2">
        <v>45775</v>
      </c>
      <c r="C48" s="1">
        <v>0.61938657407407405</v>
      </c>
      <c r="D48">
        <v>11</v>
      </c>
    </row>
    <row r="49" spans="1:4" x14ac:dyDescent="0.3">
      <c r="A49" t="s">
        <v>54</v>
      </c>
      <c r="B49" s="2">
        <v>45775</v>
      </c>
      <c r="C49" s="1">
        <v>0.62101851851851853</v>
      </c>
      <c r="D49">
        <v>12</v>
      </c>
    </row>
    <row r="50" spans="1:4" x14ac:dyDescent="0.3">
      <c r="A50" t="s">
        <v>54</v>
      </c>
      <c r="B50" s="2">
        <v>45775</v>
      </c>
      <c r="C50" s="1">
        <v>0.62224537037037042</v>
      </c>
      <c r="D50">
        <v>12</v>
      </c>
    </row>
    <row r="51" spans="1:4" x14ac:dyDescent="0.3">
      <c r="A51" t="s">
        <v>55</v>
      </c>
      <c r="B51" s="2">
        <v>45776</v>
      </c>
      <c r="C51" s="1">
        <v>0.45719907407407406</v>
      </c>
      <c r="D51">
        <v>3</v>
      </c>
    </row>
    <row r="52" spans="1:4" x14ac:dyDescent="0.3">
      <c r="A52" t="s">
        <v>55</v>
      </c>
      <c r="B52" s="2">
        <v>45777</v>
      </c>
      <c r="C52" s="1">
        <v>0.31038194444444445</v>
      </c>
      <c r="D52">
        <v>2</v>
      </c>
    </row>
    <row r="53" spans="1:4" x14ac:dyDescent="0.3">
      <c r="A53" t="s">
        <v>55</v>
      </c>
      <c r="B53" s="2">
        <v>45777</v>
      </c>
      <c r="C53" s="1">
        <v>0.31107638888888889</v>
      </c>
      <c r="D53">
        <v>1</v>
      </c>
    </row>
    <row r="54" spans="1:4" x14ac:dyDescent="0.3">
      <c r="A54" t="s">
        <v>55</v>
      </c>
      <c r="B54" s="2">
        <v>45777</v>
      </c>
      <c r="C54" s="1">
        <v>0.31145833333333334</v>
      </c>
      <c r="D54">
        <v>3</v>
      </c>
    </row>
    <row r="55" spans="1:4" x14ac:dyDescent="0.3">
      <c r="A55" t="s">
        <v>55</v>
      </c>
      <c r="B55" s="2">
        <v>45777</v>
      </c>
      <c r="C55" s="1">
        <v>0.42494212962962963</v>
      </c>
      <c r="D55">
        <v>4</v>
      </c>
    </row>
    <row r="56" spans="1:4" x14ac:dyDescent="0.3">
      <c r="A56" t="s">
        <v>53</v>
      </c>
      <c r="B56" s="2">
        <v>45777</v>
      </c>
      <c r="C56" s="1">
        <v>0.47758101851851853</v>
      </c>
      <c r="D56">
        <v>9</v>
      </c>
    </row>
    <row r="57" spans="1:4" x14ac:dyDescent="0.3">
      <c r="A57" t="s">
        <v>53</v>
      </c>
      <c r="B57" s="2">
        <v>45777</v>
      </c>
      <c r="C57" s="1">
        <v>0.47789351851851852</v>
      </c>
      <c r="D57">
        <v>8</v>
      </c>
    </row>
    <row r="58" spans="1:4" x14ac:dyDescent="0.3">
      <c r="A58" t="s">
        <v>53</v>
      </c>
      <c r="B58" s="2">
        <v>45777</v>
      </c>
      <c r="C58" s="1">
        <v>0.48289351851851853</v>
      </c>
      <c r="D58">
        <v>4</v>
      </c>
    </row>
    <row r="59" spans="1:4" x14ac:dyDescent="0.3">
      <c r="A59" t="s">
        <v>53</v>
      </c>
      <c r="B59" s="2">
        <v>45777</v>
      </c>
      <c r="C59" s="1">
        <v>0.48731481481481481</v>
      </c>
      <c r="D59">
        <v>4</v>
      </c>
    </row>
    <row r="60" spans="1:4" x14ac:dyDescent="0.3">
      <c r="A60" t="s">
        <v>55</v>
      </c>
      <c r="B60" s="2">
        <v>45777</v>
      </c>
      <c r="C60" s="1">
        <v>0.54893518518518525</v>
      </c>
      <c r="D60">
        <v>4</v>
      </c>
    </row>
    <row r="61" spans="1:4" x14ac:dyDescent="0.3">
      <c r="A61" t="s">
        <v>3</v>
      </c>
      <c r="B61" s="2">
        <v>45777</v>
      </c>
      <c r="C61" s="1">
        <v>0.8450347222222222</v>
      </c>
      <c r="D61">
        <v>6</v>
      </c>
    </row>
    <row r="62" spans="1:4" x14ac:dyDescent="0.3">
      <c r="A62" t="s">
        <v>40</v>
      </c>
      <c r="B62" s="2">
        <v>45778</v>
      </c>
      <c r="C62" s="1">
        <v>0.36167824074074079</v>
      </c>
      <c r="D62">
        <v>20</v>
      </c>
    </row>
    <row r="63" spans="1:4" x14ac:dyDescent="0.3">
      <c r="A63" t="s">
        <v>40</v>
      </c>
      <c r="B63" s="2">
        <v>45778</v>
      </c>
      <c r="C63" s="1">
        <v>0.36219907407407409</v>
      </c>
      <c r="D63">
        <v>20</v>
      </c>
    </row>
    <row r="64" spans="1:4" x14ac:dyDescent="0.3">
      <c r="A64" t="s">
        <v>55</v>
      </c>
      <c r="B64" s="2">
        <v>45778</v>
      </c>
      <c r="C64" s="1">
        <v>0.40644675925925927</v>
      </c>
      <c r="D64">
        <v>9</v>
      </c>
    </row>
    <row r="65" spans="1:4" x14ac:dyDescent="0.3">
      <c r="A65" t="s">
        <v>56</v>
      </c>
      <c r="B65" s="2">
        <v>45778</v>
      </c>
      <c r="C65" s="1">
        <v>0.47659722222222217</v>
      </c>
      <c r="D65">
        <v>9</v>
      </c>
    </row>
    <row r="66" spans="1:4" x14ac:dyDescent="0.3">
      <c r="A66" t="s">
        <v>56</v>
      </c>
      <c r="B66" s="2">
        <v>45778</v>
      </c>
      <c r="C66" s="1">
        <v>0.55902777777777779</v>
      </c>
      <c r="D66">
        <v>9</v>
      </c>
    </row>
    <row r="67" spans="1:4" x14ac:dyDescent="0.3">
      <c r="A67" t="s">
        <v>56</v>
      </c>
      <c r="B67" s="2">
        <v>45778</v>
      </c>
      <c r="C67" s="1">
        <v>0.55947916666666664</v>
      </c>
      <c r="D67">
        <v>9</v>
      </c>
    </row>
    <row r="68" spans="1:4" x14ac:dyDescent="0.3">
      <c r="A68" t="s">
        <v>56</v>
      </c>
      <c r="B68" s="2">
        <v>45778</v>
      </c>
      <c r="C68" s="1">
        <v>0.56119212962962961</v>
      </c>
      <c r="D68">
        <v>9</v>
      </c>
    </row>
    <row r="69" spans="1:4" x14ac:dyDescent="0.3">
      <c r="A69" t="s">
        <v>56</v>
      </c>
      <c r="B69" s="2">
        <v>45778</v>
      </c>
      <c r="C69" s="1">
        <v>0.56167824074074069</v>
      </c>
      <c r="D69">
        <v>9</v>
      </c>
    </row>
    <row r="70" spans="1:4" x14ac:dyDescent="0.3">
      <c r="A70" t="s">
        <v>56</v>
      </c>
      <c r="B70" s="2">
        <v>45778</v>
      </c>
      <c r="C70" s="1">
        <v>0.56890046296296293</v>
      </c>
      <c r="D70">
        <v>9</v>
      </c>
    </row>
    <row r="71" spans="1:4" x14ac:dyDescent="0.3">
      <c r="A71" t="s">
        <v>56</v>
      </c>
      <c r="B71" s="2">
        <v>45778</v>
      </c>
      <c r="C71" s="1">
        <v>0.57518518518518513</v>
      </c>
      <c r="D71">
        <v>9</v>
      </c>
    </row>
    <row r="72" spans="1:4" x14ac:dyDescent="0.3">
      <c r="A72" t="s">
        <v>56</v>
      </c>
      <c r="B72" s="2">
        <v>45778</v>
      </c>
      <c r="C72" s="1">
        <v>0.58113425925925932</v>
      </c>
      <c r="D72">
        <v>9</v>
      </c>
    </row>
    <row r="73" spans="1:4" x14ac:dyDescent="0.3">
      <c r="A73" t="s">
        <v>56</v>
      </c>
      <c r="B73" s="2">
        <v>45778</v>
      </c>
      <c r="C73" s="1">
        <v>0.58707175925925925</v>
      </c>
      <c r="D73">
        <v>9</v>
      </c>
    </row>
    <row r="74" spans="1:4" x14ac:dyDescent="0.3">
      <c r="A74" t="s">
        <v>56</v>
      </c>
      <c r="B74" s="2">
        <v>45778</v>
      </c>
      <c r="C74" s="1">
        <v>0.58763888888888893</v>
      </c>
      <c r="D74">
        <v>9</v>
      </c>
    </row>
    <row r="75" spans="1:4" x14ac:dyDescent="0.3">
      <c r="A75" t="s">
        <v>56</v>
      </c>
      <c r="B75" s="2">
        <v>45778</v>
      </c>
      <c r="C75" s="1">
        <v>0.59487268518518521</v>
      </c>
      <c r="D75">
        <v>9</v>
      </c>
    </row>
    <row r="76" spans="1:4" x14ac:dyDescent="0.3">
      <c r="A76" t="s">
        <v>55</v>
      </c>
      <c r="B76" s="2">
        <v>45779</v>
      </c>
      <c r="C76" s="1">
        <v>0.41017361111111111</v>
      </c>
      <c r="D76">
        <v>8</v>
      </c>
    </row>
    <row r="77" spans="1:4" x14ac:dyDescent="0.3">
      <c r="A77" t="s">
        <v>40</v>
      </c>
      <c r="B77" s="2">
        <v>45779</v>
      </c>
      <c r="C77" s="1">
        <v>0.54005787037037034</v>
      </c>
      <c r="D77">
        <v>10</v>
      </c>
    </row>
    <row r="78" spans="1:4" x14ac:dyDescent="0.3">
      <c r="A78" t="s">
        <v>56</v>
      </c>
      <c r="B78" s="2">
        <v>45783</v>
      </c>
      <c r="C78" s="1">
        <v>0.34030092592592592</v>
      </c>
      <c r="D78">
        <v>9</v>
      </c>
    </row>
    <row r="79" spans="1:4" x14ac:dyDescent="0.3">
      <c r="A79" t="s">
        <v>56</v>
      </c>
      <c r="B79" s="2">
        <v>45783</v>
      </c>
      <c r="C79" s="1">
        <v>0.34678240740740746</v>
      </c>
      <c r="D79">
        <v>9</v>
      </c>
    </row>
    <row r="80" spans="1:4" x14ac:dyDescent="0.3">
      <c r="A80" t="s">
        <v>56</v>
      </c>
      <c r="B80" s="2">
        <v>45783</v>
      </c>
      <c r="C80" s="1">
        <v>0.35326388888888888</v>
      </c>
      <c r="D80">
        <v>9</v>
      </c>
    </row>
    <row r="81" spans="1:4" x14ac:dyDescent="0.3">
      <c r="A81" t="s">
        <v>56</v>
      </c>
      <c r="B81" s="2">
        <v>45783</v>
      </c>
      <c r="C81" s="1">
        <v>0.35952546296296295</v>
      </c>
      <c r="D81">
        <v>9</v>
      </c>
    </row>
    <row r="82" spans="1:4" x14ac:dyDescent="0.3">
      <c r="A82" t="s">
        <v>56</v>
      </c>
      <c r="B82" s="2">
        <v>45783</v>
      </c>
      <c r="C82" s="1">
        <v>0.36555555555555558</v>
      </c>
      <c r="D82">
        <v>9</v>
      </c>
    </row>
    <row r="83" spans="1:4" x14ac:dyDescent="0.3">
      <c r="A83" t="s">
        <v>56</v>
      </c>
      <c r="B83" s="2">
        <v>45783</v>
      </c>
      <c r="C83" s="1">
        <v>0.3715046296296296</v>
      </c>
      <c r="D83">
        <v>9</v>
      </c>
    </row>
    <row r="84" spans="1:4" x14ac:dyDescent="0.3">
      <c r="A84" t="s">
        <v>40</v>
      </c>
      <c r="B84" s="2">
        <v>45784</v>
      </c>
      <c r="C84" s="1">
        <v>0.46982638888888889</v>
      </c>
      <c r="D84">
        <v>10</v>
      </c>
    </row>
    <row r="85" spans="1:4" x14ac:dyDescent="0.3">
      <c r="A85" t="s">
        <v>53</v>
      </c>
      <c r="B85" s="2">
        <v>45784</v>
      </c>
      <c r="C85" s="1">
        <v>0.66689814814814818</v>
      </c>
      <c r="D85">
        <v>4</v>
      </c>
    </row>
    <row r="86" spans="1:4" x14ac:dyDescent="0.3">
      <c r="A86" t="s">
        <v>53</v>
      </c>
      <c r="B86" s="2">
        <v>45784</v>
      </c>
      <c r="C86" s="1">
        <v>0.66817129629629635</v>
      </c>
      <c r="D86">
        <v>8</v>
      </c>
    </row>
    <row r="87" spans="1:4" x14ac:dyDescent="0.3">
      <c r="A87" t="s">
        <v>53</v>
      </c>
      <c r="B87" s="2">
        <v>45784</v>
      </c>
      <c r="C87" s="1">
        <v>0.67984953703703699</v>
      </c>
      <c r="D87">
        <v>8</v>
      </c>
    </row>
    <row r="88" spans="1:4" x14ac:dyDescent="0.3">
      <c r="A88" t="s">
        <v>56</v>
      </c>
      <c r="B88" s="2">
        <v>45790</v>
      </c>
      <c r="C88" s="1">
        <v>0.4801273148148148</v>
      </c>
      <c r="D88">
        <v>8</v>
      </c>
    </row>
    <row r="89" spans="1:4" x14ac:dyDescent="0.3">
      <c r="A89" t="s">
        <v>56</v>
      </c>
      <c r="B89" s="2">
        <v>45790</v>
      </c>
      <c r="C89" s="1">
        <v>0.48628472222222219</v>
      </c>
      <c r="D89">
        <v>8</v>
      </c>
    </row>
    <row r="90" spans="1:4" x14ac:dyDescent="0.3">
      <c r="A90" t="s">
        <v>40</v>
      </c>
      <c r="B90" s="2">
        <v>45791</v>
      </c>
      <c r="C90" s="1">
        <v>0.48195601851851855</v>
      </c>
      <c r="D90">
        <v>5</v>
      </c>
    </row>
    <row r="91" spans="1:4" x14ac:dyDescent="0.3">
      <c r="A91" t="s">
        <v>55</v>
      </c>
      <c r="B91" s="2">
        <v>45792</v>
      </c>
      <c r="C91" s="1">
        <v>0.3119675925925926</v>
      </c>
      <c r="D91">
        <v>8</v>
      </c>
    </row>
    <row r="92" spans="1:4" x14ac:dyDescent="0.3">
      <c r="A92" t="s">
        <v>55</v>
      </c>
      <c r="B92" s="2">
        <v>45792</v>
      </c>
      <c r="C92" s="1">
        <v>0.43351851851851847</v>
      </c>
      <c r="D92">
        <v>8</v>
      </c>
    </row>
    <row r="93" spans="1:4" x14ac:dyDescent="0.3">
      <c r="A93" t="s">
        <v>56</v>
      </c>
      <c r="B93" s="2">
        <v>45792</v>
      </c>
      <c r="C93" s="1">
        <v>0.44311342592592595</v>
      </c>
      <c r="D93">
        <v>9</v>
      </c>
    </row>
    <row r="94" spans="1:4" x14ac:dyDescent="0.3">
      <c r="A94" t="s">
        <v>56</v>
      </c>
      <c r="B94" s="2">
        <v>45792</v>
      </c>
      <c r="C94" s="1">
        <v>0.45199074074074069</v>
      </c>
      <c r="D94">
        <v>9</v>
      </c>
    </row>
    <row r="95" spans="1:4" x14ac:dyDescent="0.3">
      <c r="A95" t="s">
        <v>56</v>
      </c>
      <c r="B95" s="2">
        <v>45792</v>
      </c>
      <c r="C95" s="1">
        <v>0.45239583333333333</v>
      </c>
      <c r="D95">
        <v>9</v>
      </c>
    </row>
    <row r="96" spans="1:4" x14ac:dyDescent="0.3">
      <c r="A96" t="s">
        <v>56</v>
      </c>
      <c r="B96" s="2">
        <v>45793</v>
      </c>
      <c r="C96" s="1">
        <v>0.38909722222222221</v>
      </c>
      <c r="D96">
        <v>9</v>
      </c>
    </row>
    <row r="97" spans="1:4" x14ac:dyDescent="0.3">
      <c r="A97" t="s">
        <v>60</v>
      </c>
      <c r="B97" s="2">
        <v>45793</v>
      </c>
      <c r="C97" s="1">
        <v>0.66006944444444449</v>
      </c>
      <c r="D97">
        <v>9</v>
      </c>
    </row>
    <row r="98" spans="1:4" x14ac:dyDescent="0.3">
      <c r="A98" t="s">
        <v>56</v>
      </c>
      <c r="B98" s="2">
        <v>45799</v>
      </c>
      <c r="C98" s="1">
        <v>0.47474537037037035</v>
      </c>
      <c r="D98">
        <v>9</v>
      </c>
    </row>
    <row r="99" spans="1:4" x14ac:dyDescent="0.3">
      <c r="A99" t="s">
        <v>56</v>
      </c>
      <c r="B99" s="2">
        <v>45799</v>
      </c>
      <c r="C99" s="1">
        <v>0.49131944444444442</v>
      </c>
      <c r="D99">
        <v>9</v>
      </c>
    </row>
    <row r="100" spans="1:4" x14ac:dyDescent="0.3">
      <c r="A100" t="s">
        <v>56</v>
      </c>
      <c r="B100" s="2">
        <v>45799</v>
      </c>
      <c r="C100" s="1">
        <v>0.55684027777777778</v>
      </c>
      <c r="D100">
        <v>9</v>
      </c>
    </row>
    <row r="101" spans="1:4" x14ac:dyDescent="0.3">
      <c r="A101" t="s">
        <v>56</v>
      </c>
      <c r="B101" s="2">
        <v>45799</v>
      </c>
      <c r="C101" s="1">
        <v>0.56129629629629629</v>
      </c>
      <c r="D101">
        <v>9</v>
      </c>
    </row>
    <row r="102" spans="1:4" x14ac:dyDescent="0.3">
      <c r="A102" t="s">
        <v>56</v>
      </c>
      <c r="B102" s="2">
        <v>45799</v>
      </c>
      <c r="C102" s="1">
        <v>0.5650115740740741</v>
      </c>
      <c r="D102">
        <v>9</v>
      </c>
    </row>
    <row r="103" spans="1:4" x14ac:dyDescent="0.3">
      <c r="A103" t="s">
        <v>56</v>
      </c>
      <c r="B103" s="2">
        <v>45799</v>
      </c>
      <c r="C103" s="1">
        <v>0.56542824074074072</v>
      </c>
      <c r="D103">
        <v>9</v>
      </c>
    </row>
    <row r="104" spans="1:4" x14ac:dyDescent="0.3">
      <c r="A104" t="s">
        <v>56</v>
      </c>
      <c r="B104" s="2">
        <v>45799</v>
      </c>
      <c r="C104" s="1">
        <v>0.56915509259259256</v>
      </c>
      <c r="D104">
        <v>9</v>
      </c>
    </row>
    <row r="105" spans="1:4" x14ac:dyDescent="0.3">
      <c r="A105" t="s">
        <v>56</v>
      </c>
      <c r="B105" s="2">
        <v>45799</v>
      </c>
      <c r="C105" s="1">
        <v>0.57331018518518517</v>
      </c>
      <c r="D105">
        <v>9</v>
      </c>
    </row>
    <row r="106" spans="1:4" x14ac:dyDescent="0.3">
      <c r="A106" t="s">
        <v>56</v>
      </c>
      <c r="B106" s="2">
        <v>45799</v>
      </c>
      <c r="C106" s="1">
        <v>0.57379629629629625</v>
      </c>
      <c r="D106">
        <v>9</v>
      </c>
    </row>
    <row r="107" spans="1:4" x14ac:dyDescent="0.3">
      <c r="A107" t="s">
        <v>56</v>
      </c>
      <c r="B107" s="2">
        <v>45799</v>
      </c>
      <c r="C107" s="1">
        <v>0.57743055555555556</v>
      </c>
      <c r="D107">
        <v>9</v>
      </c>
    </row>
    <row r="108" spans="1:4" x14ac:dyDescent="0.3">
      <c r="A108" t="s">
        <v>56</v>
      </c>
      <c r="B108" s="2">
        <v>45799</v>
      </c>
      <c r="C108" s="1">
        <v>0.58160879629629625</v>
      </c>
      <c r="D108">
        <v>9</v>
      </c>
    </row>
    <row r="109" spans="1:4" x14ac:dyDescent="0.3">
      <c r="A109" t="s">
        <v>56</v>
      </c>
      <c r="B109" s="2">
        <v>45799</v>
      </c>
      <c r="C109" s="1">
        <v>0.58527777777777779</v>
      </c>
      <c r="D109">
        <v>9</v>
      </c>
    </row>
    <row r="110" spans="1:4" x14ac:dyDescent="0.3">
      <c r="A110" t="s">
        <v>56</v>
      </c>
      <c r="B110" s="2">
        <v>45799</v>
      </c>
      <c r="C110" s="1">
        <v>0.58960648148148154</v>
      </c>
      <c r="D110">
        <v>9</v>
      </c>
    </row>
    <row r="111" spans="1:4" x14ac:dyDescent="0.3">
      <c r="A111" t="s">
        <v>56</v>
      </c>
      <c r="B111" s="2">
        <v>45799</v>
      </c>
      <c r="C111" s="1">
        <v>0.59480324074074076</v>
      </c>
      <c r="D111">
        <v>9</v>
      </c>
    </row>
    <row r="112" spans="1:4" x14ac:dyDescent="0.3">
      <c r="A112" t="s">
        <v>56</v>
      </c>
      <c r="B112" s="2">
        <v>45799</v>
      </c>
      <c r="C112" s="1">
        <v>0.60319444444444448</v>
      </c>
      <c r="D112">
        <v>9</v>
      </c>
    </row>
    <row r="113" spans="1:4" x14ac:dyDescent="0.3">
      <c r="A113" t="s">
        <v>2</v>
      </c>
      <c r="B113" s="2">
        <v>45799</v>
      </c>
      <c r="C113" s="1">
        <v>0.60793981481481485</v>
      </c>
      <c r="D113">
        <v>8</v>
      </c>
    </row>
    <row r="114" spans="1:4" x14ac:dyDescent="0.3">
      <c r="A114" t="s">
        <v>2</v>
      </c>
      <c r="B114" s="2">
        <v>45799</v>
      </c>
      <c r="C114" s="1">
        <v>0.60826388888888883</v>
      </c>
      <c r="D114">
        <v>8</v>
      </c>
    </row>
    <row r="115" spans="1:4" x14ac:dyDescent="0.3">
      <c r="A115" t="s">
        <v>2</v>
      </c>
      <c r="B115" s="2">
        <v>45799</v>
      </c>
      <c r="C115" s="1">
        <v>0.60857638888888888</v>
      </c>
      <c r="D115">
        <v>8</v>
      </c>
    </row>
    <row r="116" spans="1:4" x14ac:dyDescent="0.3">
      <c r="A116" t="s">
        <v>2</v>
      </c>
      <c r="B116" s="2">
        <v>45799</v>
      </c>
      <c r="C116" s="1">
        <v>0.60868055555555556</v>
      </c>
      <c r="D116">
        <v>8</v>
      </c>
    </row>
    <row r="117" spans="1:4" x14ac:dyDescent="0.3">
      <c r="A117" t="s">
        <v>2</v>
      </c>
      <c r="B117" s="2">
        <v>45799</v>
      </c>
      <c r="C117" s="1">
        <v>0.61027777777777781</v>
      </c>
      <c r="D117">
        <v>8</v>
      </c>
    </row>
    <row r="118" spans="1:4" x14ac:dyDescent="0.3">
      <c r="A118" t="s">
        <v>56</v>
      </c>
      <c r="B118" s="2">
        <v>45799</v>
      </c>
      <c r="C118" s="1">
        <v>0.65886574074074067</v>
      </c>
      <c r="D118">
        <v>6</v>
      </c>
    </row>
    <row r="119" spans="1:4" x14ac:dyDescent="0.3">
      <c r="A119" t="s">
        <v>56</v>
      </c>
      <c r="B119" s="2">
        <v>45799</v>
      </c>
      <c r="C119" s="1">
        <v>0.6644444444444445</v>
      </c>
      <c r="D119">
        <v>6</v>
      </c>
    </row>
    <row r="120" spans="1:4" x14ac:dyDescent="0.3">
      <c r="A120" t="s">
        <v>2</v>
      </c>
      <c r="B120" s="2">
        <v>45799</v>
      </c>
      <c r="C120" s="1">
        <v>0.70047453703703699</v>
      </c>
      <c r="D120">
        <v>9</v>
      </c>
    </row>
    <row r="121" spans="1:4" x14ac:dyDescent="0.3">
      <c r="A121" t="s">
        <v>2</v>
      </c>
      <c r="B121" s="2">
        <v>45799</v>
      </c>
      <c r="C121" s="1">
        <v>0.70659722222222221</v>
      </c>
      <c r="D121">
        <v>9</v>
      </c>
    </row>
    <row r="122" spans="1:4" x14ac:dyDescent="0.3">
      <c r="A122" t="s">
        <v>56</v>
      </c>
      <c r="B122" s="2">
        <v>45800</v>
      </c>
      <c r="C122" s="1">
        <v>0.33599537037037036</v>
      </c>
      <c r="D122">
        <v>10</v>
      </c>
    </row>
    <row r="123" spans="1:4" x14ac:dyDescent="0.3">
      <c r="A123" t="s">
        <v>55</v>
      </c>
      <c r="B123" s="2">
        <v>45800</v>
      </c>
      <c r="C123" s="1">
        <v>0.4155787037037037</v>
      </c>
      <c r="D123">
        <v>10</v>
      </c>
    </row>
    <row r="124" spans="1:4" x14ac:dyDescent="0.3">
      <c r="A124" t="s">
        <v>55</v>
      </c>
      <c r="B124" s="2">
        <v>45800</v>
      </c>
      <c r="C124" s="1">
        <v>0.52120370370370372</v>
      </c>
      <c r="D124">
        <v>10</v>
      </c>
    </row>
    <row r="125" spans="1:4" x14ac:dyDescent="0.3">
      <c r="A125" t="s">
        <v>3</v>
      </c>
      <c r="B125" s="2">
        <v>45800</v>
      </c>
      <c r="C125" s="1">
        <v>0.79452546296296289</v>
      </c>
      <c r="D125">
        <v>10</v>
      </c>
    </row>
    <row r="126" spans="1:4" x14ac:dyDescent="0.3">
      <c r="A126" t="s">
        <v>56</v>
      </c>
      <c r="B126" s="2">
        <v>45803</v>
      </c>
      <c r="C126" s="1">
        <v>0.45587962962962963</v>
      </c>
      <c r="D126">
        <v>8</v>
      </c>
    </row>
    <row r="127" spans="1:4" x14ac:dyDescent="0.3">
      <c r="A127" t="s">
        <v>55</v>
      </c>
      <c r="B127" s="2">
        <v>45803</v>
      </c>
      <c r="C127" s="1">
        <v>0.50870370370370377</v>
      </c>
      <c r="D127">
        <v>10</v>
      </c>
    </row>
    <row r="128" spans="1:4" x14ac:dyDescent="0.3">
      <c r="A128" t="s">
        <v>3</v>
      </c>
      <c r="B128" s="2">
        <v>45803</v>
      </c>
      <c r="C128" s="1">
        <v>0.55898148148148141</v>
      </c>
      <c r="D128">
        <v>10</v>
      </c>
    </row>
    <row r="129" spans="1:4" x14ac:dyDescent="0.3">
      <c r="A129" t="s">
        <v>55</v>
      </c>
      <c r="B129" s="2">
        <v>45803</v>
      </c>
      <c r="C129" s="1">
        <v>0.56443287037037038</v>
      </c>
      <c r="D129">
        <v>10</v>
      </c>
    </row>
    <row r="130" spans="1:4" x14ac:dyDescent="0.3">
      <c r="A130" t="s">
        <v>55</v>
      </c>
      <c r="B130" s="2">
        <v>45804</v>
      </c>
      <c r="C130" s="1">
        <v>0.41549768518518521</v>
      </c>
      <c r="D130">
        <v>10</v>
      </c>
    </row>
    <row r="131" spans="1:4" x14ac:dyDescent="0.3">
      <c r="A131" t="s">
        <v>55</v>
      </c>
      <c r="B131" s="2">
        <v>45804</v>
      </c>
      <c r="C131" s="1">
        <v>0.61124999999999996</v>
      </c>
      <c r="D131">
        <v>10</v>
      </c>
    </row>
    <row r="132" spans="1:4" x14ac:dyDescent="0.3">
      <c r="A132" t="s">
        <v>55</v>
      </c>
      <c r="B132" s="2">
        <v>45805</v>
      </c>
      <c r="C132" s="1">
        <v>0.40116898148148145</v>
      </c>
      <c r="D132">
        <v>10</v>
      </c>
    </row>
    <row r="133" spans="1:4" x14ac:dyDescent="0.3">
      <c r="A133" t="s">
        <v>55</v>
      </c>
      <c r="B133" s="2">
        <v>45805</v>
      </c>
      <c r="C133" s="1">
        <v>0.40462962962962962</v>
      </c>
      <c r="D133">
        <v>10</v>
      </c>
    </row>
    <row r="134" spans="1:4" x14ac:dyDescent="0.3">
      <c r="A134" t="s">
        <v>2</v>
      </c>
      <c r="B134" s="2">
        <v>45805</v>
      </c>
      <c r="C134" s="1">
        <v>0.47599537037037037</v>
      </c>
      <c r="D134">
        <v>12</v>
      </c>
    </row>
    <row r="135" spans="1:4" x14ac:dyDescent="0.3">
      <c r="A135" t="s">
        <v>2</v>
      </c>
      <c r="B135" s="2">
        <v>45805</v>
      </c>
      <c r="C135" s="1">
        <v>0.47607638888888887</v>
      </c>
      <c r="D135">
        <v>12</v>
      </c>
    </row>
    <row r="136" spans="1:4" x14ac:dyDescent="0.3">
      <c r="A136" t="s">
        <v>55</v>
      </c>
      <c r="B136" s="2">
        <v>45805</v>
      </c>
      <c r="C136" s="1">
        <v>0.50474537037037037</v>
      </c>
      <c r="D136">
        <v>10</v>
      </c>
    </row>
    <row r="137" spans="1:4" x14ac:dyDescent="0.3">
      <c r="A137" t="s">
        <v>1</v>
      </c>
      <c r="B137" s="2">
        <v>45805</v>
      </c>
      <c r="C137" s="1">
        <v>0.57152777777777775</v>
      </c>
      <c r="D137">
        <v>6</v>
      </c>
    </row>
    <row r="138" spans="1:4" x14ac:dyDescent="0.3">
      <c r="A138" t="s">
        <v>39</v>
      </c>
      <c r="B138" s="2">
        <v>45805</v>
      </c>
      <c r="C138" s="1">
        <v>0.6711921296296296</v>
      </c>
      <c r="D138">
        <v>10</v>
      </c>
    </row>
    <row r="139" spans="1:4" x14ac:dyDescent="0.3">
      <c r="A139" t="s">
        <v>39</v>
      </c>
      <c r="B139" s="2">
        <v>45805</v>
      </c>
      <c r="C139" s="1">
        <v>0.67155092592592591</v>
      </c>
      <c r="D139">
        <v>10</v>
      </c>
    </row>
    <row r="140" spans="1:4" x14ac:dyDescent="0.3">
      <c r="A140" t="s">
        <v>2</v>
      </c>
      <c r="B140" s="2">
        <v>45805</v>
      </c>
      <c r="C140" s="1">
        <v>0.71936342592592595</v>
      </c>
      <c r="D140">
        <v>10</v>
      </c>
    </row>
    <row r="141" spans="1:4" x14ac:dyDescent="0.3">
      <c r="A141" t="s">
        <v>2</v>
      </c>
      <c r="B141" s="2">
        <v>45805</v>
      </c>
      <c r="C141" s="1">
        <v>0.71990740740740744</v>
      </c>
      <c r="D141">
        <v>10</v>
      </c>
    </row>
    <row r="142" spans="1:4" x14ac:dyDescent="0.3">
      <c r="A142" t="s">
        <v>2</v>
      </c>
      <c r="B142" s="2">
        <v>45805</v>
      </c>
      <c r="C142" s="1">
        <v>0.72004629629629635</v>
      </c>
      <c r="D142">
        <v>10</v>
      </c>
    </row>
    <row r="143" spans="1:4" x14ac:dyDescent="0.3">
      <c r="A143" t="s">
        <v>55</v>
      </c>
      <c r="B143" s="2">
        <v>45806</v>
      </c>
      <c r="C143" s="1">
        <v>0.31895833333333334</v>
      </c>
      <c r="D143">
        <v>10</v>
      </c>
    </row>
    <row r="144" spans="1:4" x14ac:dyDescent="0.3">
      <c r="A144" t="s">
        <v>55</v>
      </c>
      <c r="B144" s="2">
        <v>45806</v>
      </c>
      <c r="C144" s="1">
        <v>0.40733796296296299</v>
      </c>
      <c r="D144">
        <v>10</v>
      </c>
    </row>
    <row r="145" spans="1:4" x14ac:dyDescent="0.3">
      <c r="A145" t="s">
        <v>16</v>
      </c>
      <c r="B145" s="2">
        <v>45806</v>
      </c>
      <c r="C145" s="1">
        <v>0.50234953703703711</v>
      </c>
      <c r="D145">
        <v>10</v>
      </c>
    </row>
    <row r="146" spans="1:4" x14ac:dyDescent="0.3">
      <c r="A146" t="s">
        <v>55</v>
      </c>
      <c r="B146" s="2">
        <v>45806</v>
      </c>
      <c r="C146" s="1">
        <v>0.50280092592592596</v>
      </c>
      <c r="D146">
        <v>10</v>
      </c>
    </row>
    <row r="147" spans="1:4" x14ac:dyDescent="0.3">
      <c r="A147" t="s">
        <v>55</v>
      </c>
      <c r="B147" s="2">
        <v>45806</v>
      </c>
      <c r="C147" s="1">
        <v>0.50412037037037039</v>
      </c>
      <c r="D147">
        <v>10</v>
      </c>
    </row>
    <row r="148" spans="1:4" x14ac:dyDescent="0.3">
      <c r="A148" t="s">
        <v>55</v>
      </c>
      <c r="B148" s="2">
        <v>45806</v>
      </c>
      <c r="C148" s="1">
        <v>0.57094907407407403</v>
      </c>
      <c r="D148">
        <v>10</v>
      </c>
    </row>
    <row r="149" spans="1:4" x14ac:dyDescent="0.3">
      <c r="A149" t="s">
        <v>16</v>
      </c>
      <c r="B149" s="2">
        <v>45806</v>
      </c>
      <c r="C149" s="1">
        <v>0.66822916666666676</v>
      </c>
      <c r="D149">
        <v>10</v>
      </c>
    </row>
    <row r="150" spans="1:4" x14ac:dyDescent="0.3">
      <c r="A150" t="s">
        <v>2</v>
      </c>
      <c r="B150" s="2">
        <v>45806</v>
      </c>
      <c r="C150" s="1">
        <v>0.69866898148148149</v>
      </c>
      <c r="D150">
        <v>10</v>
      </c>
    </row>
    <row r="151" spans="1:4" x14ac:dyDescent="0.3">
      <c r="A151" t="s">
        <v>55</v>
      </c>
      <c r="B151" s="2">
        <v>45807</v>
      </c>
      <c r="C151" s="1">
        <v>0.34002314814814816</v>
      </c>
      <c r="D151">
        <v>10</v>
      </c>
    </row>
    <row r="152" spans="1:4" x14ac:dyDescent="0.3">
      <c r="A152" t="s">
        <v>56</v>
      </c>
      <c r="B152" s="2">
        <v>45807</v>
      </c>
      <c r="C152" s="1">
        <v>0.38969907407407406</v>
      </c>
      <c r="D152">
        <v>4</v>
      </c>
    </row>
    <row r="153" spans="1:4" x14ac:dyDescent="0.3">
      <c r="A153" t="s">
        <v>56</v>
      </c>
      <c r="B153" s="2">
        <v>45807</v>
      </c>
      <c r="C153" s="1">
        <v>0.39243055555555556</v>
      </c>
      <c r="D153">
        <v>4</v>
      </c>
    </row>
    <row r="154" spans="1:4" x14ac:dyDescent="0.3">
      <c r="A154" t="s">
        <v>55</v>
      </c>
      <c r="B154" s="2">
        <v>45807</v>
      </c>
      <c r="C154" s="1">
        <v>0.43472222222222223</v>
      </c>
      <c r="D154">
        <v>10</v>
      </c>
    </row>
    <row r="155" spans="1:4" x14ac:dyDescent="0.3">
      <c r="A155" t="s">
        <v>55</v>
      </c>
      <c r="B155" s="2">
        <v>45807</v>
      </c>
      <c r="C155" s="1">
        <v>0.50809027777777771</v>
      </c>
      <c r="D155">
        <v>10</v>
      </c>
    </row>
    <row r="156" spans="1:4" x14ac:dyDescent="0.3">
      <c r="A156" t="s">
        <v>56</v>
      </c>
      <c r="B156" s="2">
        <v>45807</v>
      </c>
      <c r="C156" s="1">
        <v>0.56009259259259259</v>
      </c>
      <c r="D156">
        <v>9</v>
      </c>
    </row>
    <row r="157" spans="1:4" x14ac:dyDescent="0.3">
      <c r="A157" t="s">
        <v>56</v>
      </c>
      <c r="B157" s="2">
        <v>45807</v>
      </c>
      <c r="C157" s="1">
        <v>0.5602893518518518</v>
      </c>
      <c r="D157">
        <v>9</v>
      </c>
    </row>
    <row r="158" spans="1:4" x14ac:dyDescent="0.3">
      <c r="A158" t="s">
        <v>2</v>
      </c>
      <c r="B158" s="2">
        <v>45811</v>
      </c>
      <c r="C158" s="1">
        <v>0.72870370370370363</v>
      </c>
      <c r="D158">
        <v>10</v>
      </c>
    </row>
    <row r="159" spans="1:4" x14ac:dyDescent="0.3">
      <c r="A159" t="s">
        <v>56</v>
      </c>
      <c r="B159" s="2">
        <v>45812</v>
      </c>
      <c r="C159" s="1">
        <v>0.6333333333333333</v>
      </c>
      <c r="D159">
        <v>9</v>
      </c>
    </row>
    <row r="160" spans="1:4" x14ac:dyDescent="0.3">
      <c r="A160" t="s">
        <v>56</v>
      </c>
      <c r="B160" s="2">
        <v>45813</v>
      </c>
      <c r="C160" s="1">
        <v>0.32596064814814812</v>
      </c>
      <c r="D160">
        <v>9</v>
      </c>
    </row>
    <row r="161" spans="1:4" x14ac:dyDescent="0.3">
      <c r="A161" t="s">
        <v>56</v>
      </c>
      <c r="B161" s="2">
        <v>45813</v>
      </c>
      <c r="C161" s="1">
        <v>0.32969907407407406</v>
      </c>
      <c r="D161">
        <v>9</v>
      </c>
    </row>
    <row r="162" spans="1:4" x14ac:dyDescent="0.3">
      <c r="A162" t="s">
        <v>56</v>
      </c>
      <c r="B162" s="2">
        <v>45813</v>
      </c>
      <c r="C162" s="1">
        <v>0.33386574074074077</v>
      </c>
      <c r="D162">
        <v>9</v>
      </c>
    </row>
    <row r="163" spans="1:4" x14ac:dyDescent="0.3">
      <c r="A163" t="s">
        <v>56</v>
      </c>
      <c r="B163" s="2">
        <v>45813</v>
      </c>
      <c r="C163" s="1">
        <v>0.33936342592592594</v>
      </c>
      <c r="D163">
        <v>9</v>
      </c>
    </row>
    <row r="164" spans="1:4" x14ac:dyDescent="0.3">
      <c r="A164" t="s">
        <v>56</v>
      </c>
      <c r="B164" s="2">
        <v>45813</v>
      </c>
      <c r="C164" s="1">
        <v>0.34327546296296302</v>
      </c>
      <c r="D164">
        <v>9</v>
      </c>
    </row>
    <row r="165" spans="1:4" x14ac:dyDescent="0.3">
      <c r="A165" t="s">
        <v>56</v>
      </c>
      <c r="B165" s="2">
        <v>45813</v>
      </c>
      <c r="C165" s="1">
        <v>0.37315972222222221</v>
      </c>
      <c r="D165">
        <v>9</v>
      </c>
    </row>
    <row r="166" spans="1:4" x14ac:dyDescent="0.3">
      <c r="A166" t="s">
        <v>56</v>
      </c>
      <c r="B166" s="2">
        <v>45813</v>
      </c>
      <c r="C166" s="1">
        <v>0.47545138888888888</v>
      </c>
      <c r="D166">
        <v>9</v>
      </c>
    </row>
    <row r="167" spans="1:4" x14ac:dyDescent="0.3">
      <c r="A167" t="s">
        <v>56</v>
      </c>
      <c r="B167" s="2">
        <v>45813</v>
      </c>
      <c r="C167" s="1">
        <v>0.48086805555555556</v>
      </c>
      <c r="D167">
        <v>9</v>
      </c>
    </row>
    <row r="168" spans="1:4" x14ac:dyDescent="0.3">
      <c r="A168" t="s">
        <v>56</v>
      </c>
      <c r="B168" s="2">
        <v>45813</v>
      </c>
      <c r="C168" s="1">
        <v>0.48645833333333338</v>
      </c>
      <c r="D168">
        <v>9</v>
      </c>
    </row>
    <row r="169" spans="1:4" x14ac:dyDescent="0.3">
      <c r="A169" t="s">
        <v>56</v>
      </c>
      <c r="B169" s="2">
        <v>45813</v>
      </c>
      <c r="C169" s="1">
        <v>0.58741898148148153</v>
      </c>
      <c r="D169">
        <v>9</v>
      </c>
    </row>
    <row r="170" spans="1:4" x14ac:dyDescent="0.3">
      <c r="A170" t="s">
        <v>56</v>
      </c>
      <c r="B170" s="2">
        <v>45813</v>
      </c>
      <c r="C170" s="1">
        <v>0.59160879629629626</v>
      </c>
      <c r="D170">
        <v>9</v>
      </c>
    </row>
    <row r="171" spans="1:4" x14ac:dyDescent="0.3">
      <c r="A171" t="s">
        <v>56</v>
      </c>
      <c r="B171" s="2">
        <v>45813</v>
      </c>
      <c r="C171" s="1">
        <v>0.59591435185185182</v>
      </c>
      <c r="D171">
        <v>9</v>
      </c>
    </row>
    <row r="172" spans="1:4" x14ac:dyDescent="0.3">
      <c r="A172" t="s">
        <v>56</v>
      </c>
      <c r="B172" s="2">
        <v>45813</v>
      </c>
      <c r="C172" s="1">
        <v>0.60060185185185189</v>
      </c>
      <c r="D172">
        <v>9</v>
      </c>
    </row>
    <row r="173" spans="1:4" x14ac:dyDescent="0.3">
      <c r="A173" t="s">
        <v>56</v>
      </c>
      <c r="B173" s="2">
        <v>45813</v>
      </c>
      <c r="C173" s="1">
        <v>0.60421296296296301</v>
      </c>
      <c r="D173">
        <v>9</v>
      </c>
    </row>
    <row r="174" spans="1:4" x14ac:dyDescent="0.3">
      <c r="A174" t="s">
        <v>56</v>
      </c>
      <c r="B174" s="2">
        <v>45813</v>
      </c>
      <c r="C174" s="1">
        <v>0.60777777777777775</v>
      </c>
      <c r="D174">
        <v>9</v>
      </c>
    </row>
    <row r="175" spans="1:4" x14ac:dyDescent="0.3">
      <c r="A175" t="s">
        <v>56</v>
      </c>
      <c r="B175" s="2">
        <v>45813</v>
      </c>
      <c r="C175" s="1">
        <v>0.61114583333333339</v>
      </c>
      <c r="D175">
        <v>9</v>
      </c>
    </row>
    <row r="176" spans="1:4" x14ac:dyDescent="0.3">
      <c r="A176" t="s">
        <v>2</v>
      </c>
      <c r="B176" s="2">
        <v>45813</v>
      </c>
      <c r="C176" s="1">
        <v>0.7052546296296297</v>
      </c>
      <c r="D176">
        <v>10</v>
      </c>
    </row>
    <row r="177" spans="1:4" x14ac:dyDescent="0.3">
      <c r="A177" t="s">
        <v>2</v>
      </c>
      <c r="B177" s="2">
        <v>45813</v>
      </c>
      <c r="C177" s="1">
        <v>0.70936342592592594</v>
      </c>
      <c r="D177">
        <v>10</v>
      </c>
    </row>
    <row r="178" spans="1:4" x14ac:dyDescent="0.3">
      <c r="A178" t="s">
        <v>56</v>
      </c>
      <c r="B178" s="2">
        <v>45814</v>
      </c>
      <c r="C178" s="1">
        <v>0.35994212962962963</v>
      </c>
      <c r="D178">
        <v>9</v>
      </c>
    </row>
    <row r="179" spans="1:4" x14ac:dyDescent="0.3">
      <c r="A179" t="s">
        <v>56</v>
      </c>
      <c r="B179" s="2">
        <v>45814</v>
      </c>
      <c r="C179" s="1">
        <v>0.36675925925925923</v>
      </c>
      <c r="D179">
        <v>9</v>
      </c>
    </row>
    <row r="180" spans="1:4" x14ac:dyDescent="0.3">
      <c r="A180" t="s">
        <v>56</v>
      </c>
      <c r="B180" s="2">
        <v>45814</v>
      </c>
      <c r="C180" s="1">
        <v>0.36844907407407407</v>
      </c>
      <c r="D180">
        <v>9</v>
      </c>
    </row>
    <row r="181" spans="1:4" x14ac:dyDescent="0.3">
      <c r="A181" t="s">
        <v>56</v>
      </c>
      <c r="B181" s="2">
        <v>45814</v>
      </c>
      <c r="C181" s="1">
        <v>0.37435185185185182</v>
      </c>
      <c r="D181">
        <v>9</v>
      </c>
    </row>
    <row r="182" spans="1:4" x14ac:dyDescent="0.3">
      <c r="A182" t="s">
        <v>56</v>
      </c>
      <c r="B182" s="2">
        <v>45814</v>
      </c>
      <c r="C182" s="1">
        <v>0.38196759259259255</v>
      </c>
      <c r="D182">
        <v>9</v>
      </c>
    </row>
    <row r="183" spans="1:4" x14ac:dyDescent="0.3">
      <c r="A183" t="s">
        <v>56</v>
      </c>
      <c r="B183" s="2">
        <v>45814</v>
      </c>
      <c r="C183" s="1">
        <v>0.38879629629629631</v>
      </c>
      <c r="D183">
        <v>9</v>
      </c>
    </row>
    <row r="184" spans="1:4" x14ac:dyDescent="0.3">
      <c r="A184" t="s">
        <v>56</v>
      </c>
      <c r="B184" s="2">
        <v>45814</v>
      </c>
      <c r="C184" s="1">
        <v>0.39471064814814816</v>
      </c>
      <c r="D184">
        <v>9</v>
      </c>
    </row>
    <row r="185" spans="1:4" x14ac:dyDescent="0.3">
      <c r="A185" t="s">
        <v>56</v>
      </c>
      <c r="B185" s="2">
        <v>45814</v>
      </c>
      <c r="C185" s="1">
        <v>0.42333333333333334</v>
      </c>
      <c r="D185">
        <v>9</v>
      </c>
    </row>
    <row r="186" spans="1:4" x14ac:dyDescent="0.3">
      <c r="A186" t="s">
        <v>56</v>
      </c>
      <c r="B186" s="2">
        <v>45814</v>
      </c>
      <c r="C186" s="1">
        <v>0.42393518518518519</v>
      </c>
      <c r="D186">
        <v>9</v>
      </c>
    </row>
    <row r="187" spans="1:4" x14ac:dyDescent="0.3">
      <c r="A187" t="s">
        <v>56</v>
      </c>
      <c r="B187" s="2">
        <v>45814</v>
      </c>
      <c r="C187" s="1">
        <v>0.42984953703703704</v>
      </c>
      <c r="D187">
        <v>9</v>
      </c>
    </row>
    <row r="188" spans="1:4" x14ac:dyDescent="0.3">
      <c r="A188" t="s">
        <v>56</v>
      </c>
      <c r="B188" s="2">
        <v>45814</v>
      </c>
      <c r="C188" s="1">
        <v>0.43831018518518516</v>
      </c>
      <c r="D188">
        <v>9</v>
      </c>
    </row>
    <row r="189" spans="1:4" x14ac:dyDescent="0.3">
      <c r="A189" t="s">
        <v>56</v>
      </c>
      <c r="B189" s="2">
        <v>45814</v>
      </c>
      <c r="C189" s="1">
        <v>0.54508101851851853</v>
      </c>
      <c r="D189">
        <v>9</v>
      </c>
    </row>
    <row r="190" spans="1:4" x14ac:dyDescent="0.3">
      <c r="A190" t="s">
        <v>56</v>
      </c>
      <c r="B190" s="2">
        <v>45814</v>
      </c>
      <c r="C190" s="1">
        <v>0.55101851851851846</v>
      </c>
      <c r="D190">
        <v>9</v>
      </c>
    </row>
    <row r="191" spans="1:4" x14ac:dyDescent="0.3">
      <c r="A191" t="s">
        <v>56</v>
      </c>
      <c r="B191" s="2">
        <v>45814</v>
      </c>
      <c r="C191" s="1">
        <v>0.55682870370370374</v>
      </c>
      <c r="D191">
        <v>9</v>
      </c>
    </row>
    <row r="192" spans="1:4" x14ac:dyDescent="0.3">
      <c r="A192" t="s">
        <v>40</v>
      </c>
      <c r="B192" s="2">
        <v>45818</v>
      </c>
      <c r="C192" s="1">
        <v>0.49291666666666667</v>
      </c>
      <c r="D192">
        <v>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A89EF-F9EB-4E58-A85B-E8635C189F3E}">
  <sheetPr codeName="Sheet13"/>
  <dimension ref="A1:D144"/>
  <sheetViews>
    <sheetView topLeftCell="A106" workbookViewId="0">
      <selection activeCell="A32" sqref="A32:D34"/>
    </sheetView>
  </sheetViews>
  <sheetFormatPr defaultRowHeight="14.4" x14ac:dyDescent="0.3"/>
  <cols>
    <col min="1" max="1" width="11" customWidth="1"/>
    <col min="2" max="2" width="12.6640625" customWidth="1"/>
    <col min="3" max="3" width="10" customWidth="1"/>
  </cols>
  <sheetData>
    <row r="1" spans="1:4" x14ac:dyDescent="0.3">
      <c r="A1" t="s">
        <v>5</v>
      </c>
      <c r="B1" t="s">
        <v>6</v>
      </c>
      <c r="C1" t="s">
        <v>7</v>
      </c>
      <c r="D1" t="s">
        <v>14</v>
      </c>
    </row>
    <row r="2" spans="1:4" x14ac:dyDescent="0.3">
      <c r="A2" t="s">
        <v>1</v>
      </c>
      <c r="B2" s="2">
        <v>45721</v>
      </c>
      <c r="C2" s="1">
        <v>0.5635648148148148</v>
      </c>
      <c r="D2">
        <v>16</v>
      </c>
    </row>
    <row r="3" spans="1:4" x14ac:dyDescent="0.3">
      <c r="A3" t="s">
        <v>1</v>
      </c>
      <c r="B3" s="2">
        <v>45728</v>
      </c>
      <c r="C3" s="1">
        <v>0.59826388888888882</v>
      </c>
      <c r="D3">
        <v>6</v>
      </c>
    </row>
    <row r="4" spans="1:4" x14ac:dyDescent="0.3">
      <c r="A4" t="s">
        <v>16</v>
      </c>
      <c r="B4" s="2">
        <v>45728</v>
      </c>
      <c r="C4" s="1">
        <v>0.6058796296296296</v>
      </c>
      <c r="D4">
        <v>8</v>
      </c>
    </row>
    <row r="5" spans="1:4" x14ac:dyDescent="0.3">
      <c r="A5" t="s">
        <v>16</v>
      </c>
      <c r="B5" s="2">
        <v>45728</v>
      </c>
      <c r="C5" s="1">
        <v>0.60607638888888882</v>
      </c>
      <c r="D5">
        <v>8</v>
      </c>
    </row>
    <row r="6" spans="1:4" x14ac:dyDescent="0.3">
      <c r="A6" t="s">
        <v>1</v>
      </c>
      <c r="B6" s="2">
        <v>45728</v>
      </c>
      <c r="C6" s="1">
        <v>0.60684027777777783</v>
      </c>
      <c r="D6">
        <v>7</v>
      </c>
    </row>
    <row r="7" spans="1:4" x14ac:dyDescent="0.3">
      <c r="A7" t="s">
        <v>16</v>
      </c>
      <c r="B7" s="2">
        <v>45728</v>
      </c>
      <c r="C7" s="1">
        <v>0.61193287037037036</v>
      </c>
      <c r="D7">
        <v>8</v>
      </c>
    </row>
    <row r="8" spans="1:4" x14ac:dyDescent="0.3">
      <c r="A8" t="s">
        <v>1</v>
      </c>
      <c r="B8" s="2">
        <v>45728</v>
      </c>
      <c r="C8" s="1">
        <v>0.61892361111111105</v>
      </c>
      <c r="D8">
        <v>7</v>
      </c>
    </row>
    <row r="9" spans="1:4" x14ac:dyDescent="0.3">
      <c r="A9" t="s">
        <v>16</v>
      </c>
      <c r="B9" s="2">
        <v>45728</v>
      </c>
      <c r="C9" s="1">
        <v>0.62324074074074076</v>
      </c>
      <c r="D9">
        <v>8</v>
      </c>
    </row>
    <row r="10" spans="1:4" x14ac:dyDescent="0.3">
      <c r="A10" t="s">
        <v>16</v>
      </c>
      <c r="B10" s="2">
        <v>45728</v>
      </c>
      <c r="C10" s="1">
        <v>0.62379629629629629</v>
      </c>
      <c r="D10">
        <v>8</v>
      </c>
    </row>
    <row r="11" spans="1:4" x14ac:dyDescent="0.3">
      <c r="A11" t="s">
        <v>16</v>
      </c>
      <c r="B11" s="2">
        <v>45728</v>
      </c>
      <c r="C11" s="1">
        <v>0.68371527777777785</v>
      </c>
      <c r="D11">
        <v>6</v>
      </c>
    </row>
    <row r="12" spans="1:4" x14ac:dyDescent="0.3">
      <c r="A12" t="s">
        <v>16</v>
      </c>
      <c r="B12" s="2">
        <v>45728</v>
      </c>
      <c r="C12" s="1">
        <v>0.68481481481481488</v>
      </c>
      <c r="D12">
        <v>6</v>
      </c>
    </row>
    <row r="13" spans="1:4" x14ac:dyDescent="0.3">
      <c r="A13" t="s">
        <v>16</v>
      </c>
      <c r="B13" s="2">
        <v>45729</v>
      </c>
      <c r="C13" s="1">
        <v>0.6658680555555555</v>
      </c>
      <c r="D13">
        <v>6</v>
      </c>
    </row>
    <row r="14" spans="1:4" x14ac:dyDescent="0.3">
      <c r="A14" t="s">
        <v>16</v>
      </c>
      <c r="B14" s="2">
        <v>45729</v>
      </c>
      <c r="C14" s="1">
        <v>0.66715277777777782</v>
      </c>
      <c r="D14">
        <v>6</v>
      </c>
    </row>
    <row r="15" spans="1:4" x14ac:dyDescent="0.3">
      <c r="A15" t="s">
        <v>16</v>
      </c>
      <c r="B15" s="2">
        <v>45734</v>
      </c>
      <c r="C15" s="1">
        <v>0.71940972222222221</v>
      </c>
      <c r="D15">
        <v>8</v>
      </c>
    </row>
    <row r="16" spans="1:4" x14ac:dyDescent="0.3">
      <c r="A16" t="s">
        <v>1</v>
      </c>
      <c r="B16" s="2">
        <v>45736</v>
      </c>
      <c r="C16" s="1">
        <v>0.50086805555555558</v>
      </c>
      <c r="D16">
        <v>4</v>
      </c>
    </row>
    <row r="17" spans="1:4" x14ac:dyDescent="0.3">
      <c r="A17" t="s">
        <v>16</v>
      </c>
      <c r="B17" s="2">
        <v>45736</v>
      </c>
      <c r="C17" s="1">
        <v>0.51815972222222217</v>
      </c>
      <c r="D17">
        <v>8</v>
      </c>
    </row>
    <row r="18" spans="1:4" x14ac:dyDescent="0.3">
      <c r="A18" t="s">
        <v>16</v>
      </c>
      <c r="B18" s="2">
        <v>45736</v>
      </c>
      <c r="C18" s="1">
        <v>0.52112268518518523</v>
      </c>
      <c r="D18">
        <v>8</v>
      </c>
    </row>
    <row r="19" spans="1:4" x14ac:dyDescent="0.3">
      <c r="A19" t="s">
        <v>16</v>
      </c>
      <c r="B19" s="2">
        <v>45736</v>
      </c>
      <c r="C19" s="1">
        <v>0.66267361111111112</v>
      </c>
      <c r="D19">
        <v>6</v>
      </c>
    </row>
    <row r="20" spans="1:4" x14ac:dyDescent="0.3">
      <c r="A20" t="s">
        <v>16</v>
      </c>
      <c r="B20" s="2">
        <v>45741</v>
      </c>
      <c r="C20" s="1">
        <v>0.67311342592592593</v>
      </c>
      <c r="D20">
        <v>8</v>
      </c>
    </row>
    <row r="21" spans="1:4" x14ac:dyDescent="0.3">
      <c r="A21" t="s">
        <v>16</v>
      </c>
      <c r="B21" s="2">
        <v>45741</v>
      </c>
      <c r="C21" s="1">
        <v>0.67384259259259249</v>
      </c>
      <c r="D21">
        <v>8</v>
      </c>
    </row>
    <row r="22" spans="1:4" x14ac:dyDescent="0.3">
      <c r="A22" t="s">
        <v>16</v>
      </c>
      <c r="B22" s="2">
        <v>45741</v>
      </c>
      <c r="C22" s="1">
        <v>0.67543981481481474</v>
      </c>
      <c r="D22">
        <v>8</v>
      </c>
    </row>
    <row r="23" spans="1:4" x14ac:dyDescent="0.3">
      <c r="A23" t="s">
        <v>16</v>
      </c>
      <c r="B23" s="2">
        <v>45741</v>
      </c>
      <c r="C23" s="1">
        <v>0.67561342592592588</v>
      </c>
      <c r="D23">
        <v>8</v>
      </c>
    </row>
    <row r="24" spans="1:4" x14ac:dyDescent="0.3">
      <c r="A24" t="s">
        <v>16</v>
      </c>
      <c r="B24" s="2">
        <v>45743</v>
      </c>
      <c r="C24" s="1">
        <v>0.54387731481481483</v>
      </c>
      <c r="D24">
        <v>6</v>
      </c>
    </row>
    <row r="25" spans="1:4" x14ac:dyDescent="0.3">
      <c r="A25" t="s">
        <v>16</v>
      </c>
      <c r="B25" s="2">
        <v>45743</v>
      </c>
      <c r="C25" s="1">
        <v>0.54505787037037035</v>
      </c>
      <c r="D25">
        <v>6</v>
      </c>
    </row>
    <row r="26" spans="1:4" x14ac:dyDescent="0.3">
      <c r="A26" t="s">
        <v>16</v>
      </c>
      <c r="B26" s="2">
        <v>45743</v>
      </c>
      <c r="C26" s="1">
        <v>0.68188657407407405</v>
      </c>
      <c r="D26">
        <v>8</v>
      </c>
    </row>
    <row r="27" spans="1:4" x14ac:dyDescent="0.3">
      <c r="A27" t="s">
        <v>16</v>
      </c>
      <c r="B27" s="2">
        <v>45743</v>
      </c>
      <c r="C27" s="1">
        <v>0.68363425925925936</v>
      </c>
      <c r="D27">
        <v>8</v>
      </c>
    </row>
    <row r="28" spans="1:4" x14ac:dyDescent="0.3">
      <c r="A28" t="s">
        <v>1</v>
      </c>
      <c r="B28" s="2">
        <v>45758</v>
      </c>
      <c r="C28" s="1">
        <v>0.49452546296296296</v>
      </c>
      <c r="D28">
        <v>4</v>
      </c>
    </row>
    <row r="29" spans="1:4" x14ac:dyDescent="0.3">
      <c r="A29" t="s">
        <v>39</v>
      </c>
      <c r="B29" s="2">
        <v>45763</v>
      </c>
      <c r="C29" s="1">
        <v>0.35023148148148148</v>
      </c>
      <c r="D29">
        <v>8</v>
      </c>
    </row>
    <row r="30" spans="1:4" x14ac:dyDescent="0.3">
      <c r="A30" t="s">
        <v>39</v>
      </c>
      <c r="B30" s="2">
        <v>45763</v>
      </c>
      <c r="C30" s="1">
        <v>0.3524768518518519</v>
      </c>
      <c r="D30">
        <v>8</v>
      </c>
    </row>
    <row r="31" spans="1:4" x14ac:dyDescent="0.3">
      <c r="A31" t="s">
        <v>39</v>
      </c>
      <c r="B31" s="2">
        <v>45769</v>
      </c>
      <c r="C31" s="1">
        <v>0.52819444444444441</v>
      </c>
      <c r="D31">
        <v>8</v>
      </c>
    </row>
    <row r="32" spans="1:4" x14ac:dyDescent="0.3">
      <c r="A32" t="s">
        <v>39</v>
      </c>
      <c r="B32" s="2">
        <v>45769</v>
      </c>
      <c r="C32" s="1">
        <v>0.52947916666666661</v>
      </c>
      <c r="D32">
        <v>8</v>
      </c>
    </row>
    <row r="33" spans="1:4" x14ac:dyDescent="0.3">
      <c r="A33" t="s">
        <v>2</v>
      </c>
      <c r="B33" s="2">
        <v>45769</v>
      </c>
      <c r="C33" s="1">
        <v>0.70021990740740747</v>
      </c>
      <c r="D33">
        <v>3</v>
      </c>
    </row>
    <row r="34" spans="1:4" x14ac:dyDescent="0.3">
      <c r="A34" t="s">
        <v>39</v>
      </c>
      <c r="B34" s="2">
        <v>45769</v>
      </c>
      <c r="C34" s="1">
        <v>0.7023611111111111</v>
      </c>
      <c r="D34">
        <v>8</v>
      </c>
    </row>
    <row r="35" spans="1:4" x14ac:dyDescent="0.3">
      <c r="A35" t="s">
        <v>39</v>
      </c>
      <c r="B35" s="2">
        <v>45769</v>
      </c>
      <c r="C35" s="1">
        <v>0.70549768518518519</v>
      </c>
      <c r="D35">
        <v>8</v>
      </c>
    </row>
    <row r="36" spans="1:4" x14ac:dyDescent="0.3">
      <c r="A36" t="s">
        <v>16</v>
      </c>
      <c r="B36" s="2">
        <v>45770</v>
      </c>
      <c r="C36" s="1">
        <v>0.43297453703703703</v>
      </c>
      <c r="D36">
        <v>8</v>
      </c>
    </row>
    <row r="37" spans="1:4" x14ac:dyDescent="0.3">
      <c r="A37" t="s">
        <v>16</v>
      </c>
      <c r="B37" s="2">
        <v>45770</v>
      </c>
      <c r="C37" s="1">
        <v>0.43331018518518521</v>
      </c>
      <c r="D37">
        <v>8</v>
      </c>
    </row>
    <row r="38" spans="1:4" x14ac:dyDescent="0.3">
      <c r="A38" t="s">
        <v>16</v>
      </c>
      <c r="B38" s="2">
        <v>45770</v>
      </c>
      <c r="C38" s="1">
        <v>0.43398148148148147</v>
      </c>
      <c r="D38">
        <v>8</v>
      </c>
    </row>
    <row r="39" spans="1:4" x14ac:dyDescent="0.3">
      <c r="A39" t="s">
        <v>16</v>
      </c>
      <c r="B39" s="2">
        <v>45770</v>
      </c>
      <c r="C39" s="1">
        <v>0.44094907407407408</v>
      </c>
      <c r="D39">
        <v>8</v>
      </c>
    </row>
    <row r="40" spans="1:4" x14ac:dyDescent="0.3">
      <c r="A40" t="s">
        <v>1</v>
      </c>
      <c r="B40" s="2">
        <v>45770</v>
      </c>
      <c r="C40" s="1">
        <v>0.57530092592592597</v>
      </c>
      <c r="D40">
        <v>11</v>
      </c>
    </row>
    <row r="41" spans="1:4" x14ac:dyDescent="0.3">
      <c r="A41" t="s">
        <v>1</v>
      </c>
      <c r="B41" s="2">
        <v>45770</v>
      </c>
      <c r="C41" s="1">
        <v>0.58936342592592594</v>
      </c>
      <c r="D41">
        <v>10</v>
      </c>
    </row>
    <row r="42" spans="1:4" x14ac:dyDescent="0.3">
      <c r="A42" t="s">
        <v>1</v>
      </c>
      <c r="B42" s="2">
        <v>45770</v>
      </c>
      <c r="C42" s="1">
        <v>0.59134259259259259</v>
      </c>
      <c r="D42">
        <v>10</v>
      </c>
    </row>
    <row r="43" spans="1:4" x14ac:dyDescent="0.3">
      <c r="A43" t="s">
        <v>16</v>
      </c>
      <c r="B43" s="2">
        <v>45770</v>
      </c>
      <c r="C43" s="1">
        <v>0.66875000000000007</v>
      </c>
      <c r="D43">
        <v>8</v>
      </c>
    </row>
    <row r="44" spans="1:4" x14ac:dyDescent="0.3">
      <c r="A44" t="s">
        <v>39</v>
      </c>
      <c r="B44" s="2">
        <v>45771</v>
      </c>
      <c r="C44" s="1">
        <v>0.53240740740740744</v>
      </c>
      <c r="D44">
        <v>8</v>
      </c>
    </row>
    <row r="45" spans="1:4" x14ac:dyDescent="0.3">
      <c r="A45" t="s">
        <v>39</v>
      </c>
      <c r="B45" s="2">
        <v>45771</v>
      </c>
      <c r="C45" s="1">
        <v>0.57126157407407407</v>
      </c>
      <c r="D45">
        <v>8</v>
      </c>
    </row>
    <row r="46" spans="1:4" x14ac:dyDescent="0.3">
      <c r="A46" t="s">
        <v>1</v>
      </c>
      <c r="B46" s="2">
        <v>45772</v>
      </c>
      <c r="C46" s="1">
        <v>0.6068634259259259</v>
      </c>
      <c r="D46">
        <v>10</v>
      </c>
    </row>
    <row r="47" spans="1:4" x14ac:dyDescent="0.3">
      <c r="A47" t="s">
        <v>3</v>
      </c>
      <c r="B47" s="2">
        <v>45775</v>
      </c>
      <c r="C47" s="1">
        <v>0.49967592592592597</v>
      </c>
      <c r="D47">
        <v>3</v>
      </c>
    </row>
    <row r="48" spans="1:4" x14ac:dyDescent="0.3">
      <c r="A48" t="s">
        <v>3</v>
      </c>
      <c r="B48" s="2">
        <v>45775</v>
      </c>
      <c r="C48" s="1">
        <v>0.50701388888888888</v>
      </c>
      <c r="D48">
        <v>3</v>
      </c>
    </row>
    <row r="49" spans="1:4" x14ac:dyDescent="0.3">
      <c r="A49" t="s">
        <v>3</v>
      </c>
      <c r="B49" s="2">
        <v>45775</v>
      </c>
      <c r="C49" s="1">
        <v>0.52077546296296295</v>
      </c>
      <c r="D49">
        <v>6</v>
      </c>
    </row>
    <row r="50" spans="1:4" x14ac:dyDescent="0.3">
      <c r="A50" t="s">
        <v>3</v>
      </c>
      <c r="B50" s="2">
        <v>45775</v>
      </c>
      <c r="C50" s="1">
        <v>0.54652777777777783</v>
      </c>
      <c r="D50">
        <v>6</v>
      </c>
    </row>
    <row r="51" spans="1:4" x14ac:dyDescent="0.3">
      <c r="A51" t="s">
        <v>54</v>
      </c>
      <c r="B51" s="2">
        <v>45775</v>
      </c>
      <c r="C51" s="1">
        <v>0.57057870370370367</v>
      </c>
      <c r="D51">
        <v>20</v>
      </c>
    </row>
    <row r="52" spans="1:4" x14ac:dyDescent="0.3">
      <c r="A52" t="s">
        <v>54</v>
      </c>
      <c r="B52" s="2">
        <v>45775</v>
      </c>
      <c r="C52" s="1">
        <v>0.57393518518518516</v>
      </c>
      <c r="D52">
        <v>10</v>
      </c>
    </row>
    <row r="53" spans="1:4" x14ac:dyDescent="0.3">
      <c r="A53" t="s">
        <v>54</v>
      </c>
      <c r="B53" s="2">
        <v>45775</v>
      </c>
      <c r="C53" s="1">
        <v>0.57473379629629628</v>
      </c>
      <c r="D53">
        <v>10</v>
      </c>
    </row>
    <row r="54" spans="1:4" x14ac:dyDescent="0.3">
      <c r="A54" t="s">
        <v>40</v>
      </c>
      <c r="B54" s="2">
        <v>45775</v>
      </c>
      <c r="C54" s="1">
        <v>0.57613425925925921</v>
      </c>
      <c r="D54">
        <v>3</v>
      </c>
    </row>
    <row r="55" spans="1:4" x14ac:dyDescent="0.3">
      <c r="A55" t="s">
        <v>40</v>
      </c>
      <c r="B55" s="2">
        <v>45775</v>
      </c>
      <c r="C55" s="1">
        <v>0.57690972222222225</v>
      </c>
      <c r="D55">
        <v>33</v>
      </c>
    </row>
    <row r="56" spans="1:4" x14ac:dyDescent="0.3">
      <c r="A56" t="s">
        <v>54</v>
      </c>
      <c r="B56" s="2">
        <v>45775</v>
      </c>
      <c r="C56" s="1">
        <v>0.58143518518518522</v>
      </c>
      <c r="D56">
        <v>2</v>
      </c>
    </row>
    <row r="57" spans="1:4" x14ac:dyDescent="0.3">
      <c r="A57" t="s">
        <v>54</v>
      </c>
      <c r="B57" s="2">
        <v>45775</v>
      </c>
      <c r="C57" s="1">
        <v>0.58766203703703701</v>
      </c>
      <c r="D57">
        <v>10</v>
      </c>
    </row>
    <row r="58" spans="1:4" x14ac:dyDescent="0.3">
      <c r="A58" t="s">
        <v>54</v>
      </c>
      <c r="B58" s="2">
        <v>45775</v>
      </c>
      <c r="C58" s="1">
        <v>0.6251620370370371</v>
      </c>
      <c r="D58">
        <v>11</v>
      </c>
    </row>
    <row r="59" spans="1:4" x14ac:dyDescent="0.3">
      <c r="A59" t="s">
        <v>3</v>
      </c>
      <c r="B59" s="2">
        <v>45776</v>
      </c>
      <c r="C59" s="1">
        <v>0.80109953703703696</v>
      </c>
      <c r="D59">
        <v>3</v>
      </c>
    </row>
    <row r="60" spans="1:4" x14ac:dyDescent="0.3">
      <c r="A60" t="s">
        <v>55</v>
      </c>
      <c r="B60" s="2">
        <v>45777</v>
      </c>
      <c r="C60" s="1">
        <v>0.32405092592592594</v>
      </c>
      <c r="D60">
        <v>3</v>
      </c>
    </row>
    <row r="61" spans="1:4" x14ac:dyDescent="0.3">
      <c r="A61" t="s">
        <v>55</v>
      </c>
      <c r="B61" s="2">
        <v>45777</v>
      </c>
      <c r="C61" s="1">
        <v>0.34449074074074071</v>
      </c>
      <c r="D61">
        <v>6</v>
      </c>
    </row>
    <row r="62" spans="1:4" x14ac:dyDescent="0.3">
      <c r="A62" t="s">
        <v>53</v>
      </c>
      <c r="B62" s="2">
        <v>45777</v>
      </c>
      <c r="C62" s="1">
        <v>0.47989583333333335</v>
      </c>
      <c r="D62">
        <v>8</v>
      </c>
    </row>
    <row r="63" spans="1:4" x14ac:dyDescent="0.3">
      <c r="A63" t="s">
        <v>53</v>
      </c>
      <c r="B63" s="2">
        <v>45777</v>
      </c>
      <c r="C63" s="1">
        <v>0.55518518518518511</v>
      </c>
      <c r="D63">
        <v>4</v>
      </c>
    </row>
    <row r="64" spans="1:4" x14ac:dyDescent="0.3">
      <c r="A64" t="s">
        <v>53</v>
      </c>
      <c r="B64" s="2">
        <v>45777</v>
      </c>
      <c r="C64" s="1">
        <v>0.55563657407407407</v>
      </c>
      <c r="D64">
        <v>4</v>
      </c>
    </row>
    <row r="65" spans="1:4" x14ac:dyDescent="0.3">
      <c r="A65" t="s">
        <v>53</v>
      </c>
      <c r="B65" s="2">
        <v>45777</v>
      </c>
      <c r="C65" s="1">
        <v>0.55633101851851852</v>
      </c>
      <c r="D65">
        <v>4</v>
      </c>
    </row>
    <row r="66" spans="1:4" x14ac:dyDescent="0.3">
      <c r="A66" t="s">
        <v>53</v>
      </c>
      <c r="B66" s="2">
        <v>45777</v>
      </c>
      <c r="C66" s="1">
        <v>0.57234953703703706</v>
      </c>
      <c r="D66">
        <v>4</v>
      </c>
    </row>
    <row r="67" spans="1:4" x14ac:dyDescent="0.3">
      <c r="A67" t="s">
        <v>53</v>
      </c>
      <c r="B67" s="2">
        <v>45777</v>
      </c>
      <c r="C67" s="1">
        <v>0.57476851851851851</v>
      </c>
      <c r="D67">
        <v>4</v>
      </c>
    </row>
    <row r="68" spans="1:4" x14ac:dyDescent="0.3">
      <c r="A68" t="s">
        <v>39</v>
      </c>
      <c r="B68" s="2">
        <v>45777</v>
      </c>
      <c r="C68" s="1">
        <v>0.6449421296296296</v>
      </c>
      <c r="D68">
        <v>8</v>
      </c>
    </row>
    <row r="69" spans="1:4" x14ac:dyDescent="0.3">
      <c r="A69" t="s">
        <v>39</v>
      </c>
      <c r="B69" s="2">
        <v>45777</v>
      </c>
      <c r="C69" s="1">
        <v>0.64641203703703709</v>
      </c>
      <c r="D69">
        <v>8</v>
      </c>
    </row>
    <row r="70" spans="1:4" x14ac:dyDescent="0.3">
      <c r="A70" t="s">
        <v>3</v>
      </c>
      <c r="B70" s="2">
        <v>45777</v>
      </c>
      <c r="C70" s="1">
        <v>0.84569444444444442</v>
      </c>
      <c r="D70">
        <v>6</v>
      </c>
    </row>
    <row r="71" spans="1:4" x14ac:dyDescent="0.3">
      <c r="A71" t="s">
        <v>3</v>
      </c>
      <c r="B71" s="2">
        <v>45777</v>
      </c>
      <c r="C71" s="1">
        <v>0.84711805555555564</v>
      </c>
      <c r="D71">
        <v>6</v>
      </c>
    </row>
    <row r="72" spans="1:4" x14ac:dyDescent="0.3">
      <c r="A72" t="s">
        <v>40</v>
      </c>
      <c r="B72" s="2">
        <v>45778</v>
      </c>
      <c r="C72" s="1">
        <v>0.36533564814814817</v>
      </c>
      <c r="D72">
        <v>20</v>
      </c>
    </row>
    <row r="73" spans="1:4" x14ac:dyDescent="0.3">
      <c r="A73" t="s">
        <v>39</v>
      </c>
      <c r="B73" s="2">
        <v>45778</v>
      </c>
      <c r="C73" s="1">
        <v>0.64226851851851852</v>
      </c>
      <c r="D73">
        <v>3</v>
      </c>
    </row>
    <row r="74" spans="1:4" x14ac:dyDescent="0.3">
      <c r="A74" t="s">
        <v>39</v>
      </c>
      <c r="B74" s="2">
        <v>45778</v>
      </c>
      <c r="C74" s="1">
        <v>0.6428356481481482</v>
      </c>
      <c r="D74">
        <v>3</v>
      </c>
    </row>
    <row r="75" spans="1:4" x14ac:dyDescent="0.3">
      <c r="A75" t="s">
        <v>40</v>
      </c>
      <c r="B75" s="2">
        <v>45779</v>
      </c>
      <c r="C75" s="1">
        <v>0.54776620370370377</v>
      </c>
      <c r="D75">
        <v>10</v>
      </c>
    </row>
    <row r="76" spans="1:4" x14ac:dyDescent="0.3">
      <c r="A76" t="s">
        <v>39</v>
      </c>
      <c r="B76" s="2">
        <v>45783</v>
      </c>
      <c r="C76" s="1">
        <v>0.6966782407407407</v>
      </c>
      <c r="D76">
        <v>3</v>
      </c>
    </row>
    <row r="77" spans="1:4" x14ac:dyDescent="0.3">
      <c r="A77" t="s">
        <v>39</v>
      </c>
      <c r="B77" s="2">
        <v>45783</v>
      </c>
      <c r="C77" s="1">
        <v>0.69770833333333337</v>
      </c>
      <c r="D77">
        <v>3</v>
      </c>
    </row>
    <row r="78" spans="1:4" x14ac:dyDescent="0.3">
      <c r="A78" t="s">
        <v>39</v>
      </c>
      <c r="B78" s="2">
        <v>45783</v>
      </c>
      <c r="C78" s="1">
        <v>0.72258101851851853</v>
      </c>
      <c r="D78">
        <v>3</v>
      </c>
    </row>
    <row r="79" spans="1:4" x14ac:dyDescent="0.3">
      <c r="A79" t="s">
        <v>39</v>
      </c>
      <c r="B79" s="2">
        <v>45783</v>
      </c>
      <c r="C79" s="1">
        <v>0.72334490740740742</v>
      </c>
      <c r="D79">
        <v>3</v>
      </c>
    </row>
    <row r="80" spans="1:4" x14ac:dyDescent="0.3">
      <c r="A80" t="s">
        <v>40</v>
      </c>
      <c r="B80" s="2">
        <v>45784</v>
      </c>
      <c r="C80" s="1">
        <v>0.4765625</v>
      </c>
      <c r="D80">
        <v>10</v>
      </c>
    </row>
    <row r="81" spans="1:4" x14ac:dyDescent="0.3">
      <c r="A81" t="s">
        <v>40</v>
      </c>
      <c r="B81" s="2">
        <v>45784</v>
      </c>
      <c r="C81" s="1">
        <v>0.47848379629629628</v>
      </c>
      <c r="D81">
        <v>10</v>
      </c>
    </row>
    <row r="82" spans="1:4" x14ac:dyDescent="0.3">
      <c r="A82" t="s">
        <v>39</v>
      </c>
      <c r="B82" s="2">
        <v>45784</v>
      </c>
      <c r="C82" s="1">
        <v>0.71361111111111108</v>
      </c>
      <c r="D82">
        <v>4</v>
      </c>
    </row>
    <row r="83" spans="1:4" x14ac:dyDescent="0.3">
      <c r="A83" t="s">
        <v>39</v>
      </c>
      <c r="B83" s="2">
        <v>45784</v>
      </c>
      <c r="C83" s="1">
        <v>0.71964120370370377</v>
      </c>
      <c r="D83">
        <v>4</v>
      </c>
    </row>
    <row r="84" spans="1:4" x14ac:dyDescent="0.3">
      <c r="A84" t="s">
        <v>39</v>
      </c>
      <c r="B84" s="2">
        <v>45784</v>
      </c>
      <c r="C84" s="1">
        <v>0.71987268518518521</v>
      </c>
      <c r="D84">
        <v>4</v>
      </c>
    </row>
    <row r="85" spans="1:4" x14ac:dyDescent="0.3">
      <c r="A85" t="s">
        <v>22</v>
      </c>
      <c r="B85" s="2">
        <v>45785</v>
      </c>
      <c r="C85" s="1">
        <v>0.63912037037037039</v>
      </c>
      <c r="D85">
        <v>4</v>
      </c>
    </row>
    <row r="86" spans="1:4" x14ac:dyDescent="0.3">
      <c r="A86" t="s">
        <v>22</v>
      </c>
      <c r="B86" s="2">
        <v>45785</v>
      </c>
      <c r="C86" s="1">
        <v>0.64765046296296302</v>
      </c>
      <c r="D86">
        <v>4</v>
      </c>
    </row>
    <row r="87" spans="1:4" x14ac:dyDescent="0.3">
      <c r="A87" t="s">
        <v>22</v>
      </c>
      <c r="B87" s="2">
        <v>45785</v>
      </c>
      <c r="C87" s="1">
        <v>0.65186342592592594</v>
      </c>
      <c r="D87">
        <v>4</v>
      </c>
    </row>
    <row r="88" spans="1:4" x14ac:dyDescent="0.3">
      <c r="A88" t="s">
        <v>39</v>
      </c>
      <c r="B88" s="2">
        <v>45786</v>
      </c>
      <c r="C88" s="1">
        <v>0.36172453703703705</v>
      </c>
      <c r="D88">
        <v>8</v>
      </c>
    </row>
    <row r="89" spans="1:4" x14ac:dyDescent="0.3">
      <c r="A89" t="s">
        <v>39</v>
      </c>
      <c r="B89" s="2">
        <v>45786</v>
      </c>
      <c r="C89" s="1">
        <v>0.36290509259259257</v>
      </c>
      <c r="D89">
        <v>8</v>
      </c>
    </row>
    <row r="90" spans="1:4" x14ac:dyDescent="0.3">
      <c r="A90" t="s">
        <v>2</v>
      </c>
      <c r="B90" s="2">
        <v>45790</v>
      </c>
      <c r="C90" s="1">
        <v>0.73212962962962969</v>
      </c>
      <c r="D90">
        <v>4</v>
      </c>
    </row>
    <row r="91" spans="1:4" x14ac:dyDescent="0.3">
      <c r="A91" t="s">
        <v>40</v>
      </c>
      <c r="B91" s="2">
        <v>45791</v>
      </c>
      <c r="C91" s="1">
        <v>0.4853703703703704</v>
      </c>
      <c r="D91">
        <v>5</v>
      </c>
    </row>
    <row r="92" spans="1:4" x14ac:dyDescent="0.3">
      <c r="A92" t="s">
        <v>39</v>
      </c>
      <c r="B92" s="2">
        <v>45791</v>
      </c>
      <c r="C92" s="1">
        <v>0.68464120370370374</v>
      </c>
      <c r="D92">
        <v>4</v>
      </c>
    </row>
    <row r="93" spans="1:4" x14ac:dyDescent="0.3">
      <c r="A93" t="s">
        <v>39</v>
      </c>
      <c r="B93" s="2">
        <v>45791</v>
      </c>
      <c r="C93" s="1">
        <v>0.68793981481481481</v>
      </c>
      <c r="D93">
        <v>4</v>
      </c>
    </row>
    <row r="94" spans="1:4" x14ac:dyDescent="0.3">
      <c r="A94" t="s">
        <v>39</v>
      </c>
      <c r="B94" s="2">
        <v>45797</v>
      </c>
      <c r="C94" s="1">
        <v>0.44140046296296293</v>
      </c>
      <c r="D94">
        <v>4</v>
      </c>
    </row>
    <row r="95" spans="1:4" x14ac:dyDescent="0.3">
      <c r="A95" t="s">
        <v>39</v>
      </c>
      <c r="B95" s="2">
        <v>45798</v>
      </c>
      <c r="C95" s="1">
        <v>0.66851851851851851</v>
      </c>
      <c r="D95">
        <v>5</v>
      </c>
    </row>
    <row r="96" spans="1:4" x14ac:dyDescent="0.3">
      <c r="A96" t="s">
        <v>39</v>
      </c>
      <c r="B96" s="2">
        <v>45798</v>
      </c>
      <c r="C96" s="1">
        <v>0.66954861111111119</v>
      </c>
      <c r="D96">
        <v>5</v>
      </c>
    </row>
    <row r="97" spans="1:4" x14ac:dyDescent="0.3">
      <c r="A97" t="s">
        <v>39</v>
      </c>
      <c r="B97" s="2">
        <v>45803</v>
      </c>
      <c r="C97" s="1">
        <v>0.48421296296296296</v>
      </c>
      <c r="D97">
        <v>5</v>
      </c>
    </row>
    <row r="98" spans="1:4" x14ac:dyDescent="0.3">
      <c r="A98" t="s">
        <v>55</v>
      </c>
      <c r="B98" s="2">
        <v>45803</v>
      </c>
      <c r="C98" s="1">
        <v>0.51315972222222228</v>
      </c>
      <c r="D98">
        <v>10</v>
      </c>
    </row>
    <row r="99" spans="1:4" x14ac:dyDescent="0.3">
      <c r="A99" t="s">
        <v>55</v>
      </c>
      <c r="B99" s="2">
        <v>45803</v>
      </c>
      <c r="C99" s="1">
        <v>0.51384259259259257</v>
      </c>
      <c r="D99">
        <v>10</v>
      </c>
    </row>
    <row r="100" spans="1:4" x14ac:dyDescent="0.3">
      <c r="A100" t="s">
        <v>3</v>
      </c>
      <c r="B100" s="2">
        <v>45803</v>
      </c>
      <c r="C100" s="1">
        <v>0.5304861111111111</v>
      </c>
      <c r="D100">
        <v>10</v>
      </c>
    </row>
    <row r="101" spans="1:4" x14ac:dyDescent="0.3">
      <c r="A101" t="s">
        <v>3</v>
      </c>
      <c r="B101" s="2">
        <v>45803</v>
      </c>
      <c r="C101" s="1">
        <v>0.5334606481481482</v>
      </c>
      <c r="D101">
        <v>10</v>
      </c>
    </row>
    <row r="102" spans="1:4" x14ac:dyDescent="0.3">
      <c r="A102" t="s">
        <v>55</v>
      </c>
      <c r="B102" s="2">
        <v>45803</v>
      </c>
      <c r="C102" s="1">
        <v>0.56655092592592593</v>
      </c>
      <c r="D102">
        <v>10</v>
      </c>
    </row>
    <row r="103" spans="1:4" x14ac:dyDescent="0.3">
      <c r="A103" t="s">
        <v>55</v>
      </c>
      <c r="B103" s="2">
        <v>45803</v>
      </c>
      <c r="C103" s="1">
        <v>0.56759259259259254</v>
      </c>
      <c r="D103">
        <v>10</v>
      </c>
    </row>
    <row r="104" spans="1:4" x14ac:dyDescent="0.3">
      <c r="A104" t="s">
        <v>55</v>
      </c>
      <c r="B104" s="2">
        <v>45803</v>
      </c>
      <c r="C104" s="1">
        <v>0.5685069444444445</v>
      </c>
      <c r="D104">
        <v>10</v>
      </c>
    </row>
    <row r="105" spans="1:4" x14ac:dyDescent="0.3">
      <c r="A105" t="s">
        <v>22</v>
      </c>
      <c r="B105" s="2">
        <v>45804</v>
      </c>
      <c r="C105" s="1">
        <v>0.56662037037037039</v>
      </c>
      <c r="D105">
        <v>10</v>
      </c>
    </row>
    <row r="106" spans="1:4" x14ac:dyDescent="0.3">
      <c r="A106" t="s">
        <v>22</v>
      </c>
      <c r="B106" s="2">
        <v>45804</v>
      </c>
      <c r="C106" s="1">
        <v>0.5672800925925926</v>
      </c>
      <c r="D106">
        <v>10</v>
      </c>
    </row>
    <row r="107" spans="1:4" x14ac:dyDescent="0.3">
      <c r="A107" t="s">
        <v>22</v>
      </c>
      <c r="B107" s="2">
        <v>45804</v>
      </c>
      <c r="C107" s="1">
        <v>0.56739583333333332</v>
      </c>
      <c r="D107">
        <v>10</v>
      </c>
    </row>
    <row r="108" spans="1:4" x14ac:dyDescent="0.3">
      <c r="A108" t="s">
        <v>22</v>
      </c>
      <c r="B108" s="2">
        <v>45804</v>
      </c>
      <c r="C108" s="1">
        <v>0.56886574074074081</v>
      </c>
      <c r="D108">
        <v>10</v>
      </c>
    </row>
    <row r="109" spans="1:4" x14ac:dyDescent="0.3">
      <c r="A109" t="s">
        <v>55</v>
      </c>
      <c r="B109" s="2">
        <v>45804</v>
      </c>
      <c r="C109" s="1">
        <v>0.61320601851851853</v>
      </c>
      <c r="D109">
        <v>10</v>
      </c>
    </row>
    <row r="110" spans="1:4" x14ac:dyDescent="0.3">
      <c r="A110" t="s">
        <v>55</v>
      </c>
      <c r="B110" s="2">
        <v>45804</v>
      </c>
      <c r="C110" s="1">
        <v>0.61408564814814814</v>
      </c>
      <c r="D110">
        <v>10</v>
      </c>
    </row>
    <row r="111" spans="1:4" x14ac:dyDescent="0.3">
      <c r="A111" t="s">
        <v>39</v>
      </c>
      <c r="B111" s="2">
        <v>45804</v>
      </c>
      <c r="C111" s="1">
        <v>0.66995370370370377</v>
      </c>
      <c r="D111">
        <v>4</v>
      </c>
    </row>
    <row r="112" spans="1:4" x14ac:dyDescent="0.3">
      <c r="A112" t="s">
        <v>39</v>
      </c>
      <c r="B112" s="2">
        <v>45804</v>
      </c>
      <c r="C112" s="1">
        <v>0.67538194444444455</v>
      </c>
      <c r="D112">
        <v>4</v>
      </c>
    </row>
    <row r="113" spans="1:4" x14ac:dyDescent="0.3">
      <c r="A113" t="s">
        <v>39</v>
      </c>
      <c r="B113" s="2">
        <v>45804</v>
      </c>
      <c r="C113" s="1">
        <v>0.67576388888888894</v>
      </c>
      <c r="D113">
        <v>4</v>
      </c>
    </row>
    <row r="114" spans="1:4" x14ac:dyDescent="0.3">
      <c r="A114" t="s">
        <v>22</v>
      </c>
      <c r="B114" s="2">
        <v>45805</v>
      </c>
      <c r="C114" s="1">
        <v>0.4475810185185185</v>
      </c>
      <c r="D114">
        <v>10</v>
      </c>
    </row>
    <row r="115" spans="1:4" x14ac:dyDescent="0.3">
      <c r="A115" t="s">
        <v>22</v>
      </c>
      <c r="B115" s="2">
        <v>45805</v>
      </c>
      <c r="C115" s="1">
        <v>0.49109953703703701</v>
      </c>
      <c r="D115">
        <v>10</v>
      </c>
    </row>
    <row r="116" spans="1:4" x14ac:dyDescent="0.3">
      <c r="A116" t="s">
        <v>22</v>
      </c>
      <c r="B116" s="2">
        <v>45805</v>
      </c>
      <c r="C116" s="1">
        <v>0.5003009259259259</v>
      </c>
      <c r="D116">
        <v>10</v>
      </c>
    </row>
    <row r="117" spans="1:4" x14ac:dyDescent="0.3">
      <c r="A117" t="s">
        <v>39</v>
      </c>
      <c r="B117" s="2">
        <v>45805</v>
      </c>
      <c r="C117" s="1">
        <v>0.67829861111111101</v>
      </c>
      <c r="D117">
        <v>5</v>
      </c>
    </row>
    <row r="118" spans="1:4" x14ac:dyDescent="0.3">
      <c r="A118" t="s">
        <v>16</v>
      </c>
      <c r="B118" s="2">
        <v>45806</v>
      </c>
      <c r="C118" s="1">
        <v>0.50434027777777779</v>
      </c>
      <c r="D118">
        <v>10</v>
      </c>
    </row>
    <row r="119" spans="1:4" x14ac:dyDescent="0.3">
      <c r="A119" t="s">
        <v>39</v>
      </c>
      <c r="B119" s="2">
        <v>45806</v>
      </c>
      <c r="C119" s="1">
        <v>0.67086805555555562</v>
      </c>
      <c r="D119">
        <v>5</v>
      </c>
    </row>
    <row r="120" spans="1:4" x14ac:dyDescent="0.3">
      <c r="A120" t="s">
        <v>16</v>
      </c>
      <c r="B120" s="2">
        <v>45806</v>
      </c>
      <c r="C120" s="1">
        <v>0.67872685185185189</v>
      </c>
      <c r="D120">
        <v>10</v>
      </c>
    </row>
    <row r="121" spans="1:4" x14ac:dyDescent="0.3">
      <c r="A121" t="s">
        <v>55</v>
      </c>
      <c r="B121" s="2">
        <v>45807</v>
      </c>
      <c r="C121" s="1">
        <v>0.50988425925925929</v>
      </c>
      <c r="D121">
        <v>10</v>
      </c>
    </row>
    <row r="122" spans="1:4" x14ac:dyDescent="0.3">
      <c r="A122" t="s">
        <v>22</v>
      </c>
      <c r="B122" s="2">
        <v>45807</v>
      </c>
      <c r="C122" s="1">
        <v>0.53571759259259266</v>
      </c>
      <c r="D122">
        <v>4</v>
      </c>
    </row>
    <row r="123" spans="1:4" x14ac:dyDescent="0.3">
      <c r="A123" t="s">
        <v>22</v>
      </c>
      <c r="B123" s="2">
        <v>45807</v>
      </c>
      <c r="C123" s="1">
        <v>0.5438425925925926</v>
      </c>
      <c r="D123">
        <v>4</v>
      </c>
    </row>
    <row r="124" spans="1:4" x14ac:dyDescent="0.3">
      <c r="A124" t="s">
        <v>22</v>
      </c>
      <c r="B124" s="2">
        <v>45807</v>
      </c>
      <c r="C124" s="1">
        <v>0.54596064814814815</v>
      </c>
      <c r="D124">
        <v>4</v>
      </c>
    </row>
    <row r="125" spans="1:4" x14ac:dyDescent="0.3">
      <c r="A125" t="s">
        <v>2</v>
      </c>
      <c r="B125" s="2">
        <v>45812</v>
      </c>
      <c r="C125" s="1">
        <v>0.63780092592592597</v>
      </c>
      <c r="D125">
        <v>5</v>
      </c>
    </row>
    <row r="126" spans="1:4" x14ac:dyDescent="0.3">
      <c r="A126" t="s">
        <v>16</v>
      </c>
      <c r="B126" s="2">
        <v>45813</v>
      </c>
      <c r="C126" s="1">
        <v>0.44533564814814813</v>
      </c>
      <c r="D126">
        <v>10</v>
      </c>
    </row>
    <row r="127" spans="1:4" x14ac:dyDescent="0.3">
      <c r="A127" t="s">
        <v>16</v>
      </c>
      <c r="B127" s="2">
        <v>45813</v>
      </c>
      <c r="C127" s="1">
        <v>0.53813657407407411</v>
      </c>
      <c r="D127">
        <v>10</v>
      </c>
    </row>
    <row r="128" spans="1:4" x14ac:dyDescent="0.3">
      <c r="A128" t="s">
        <v>16</v>
      </c>
      <c r="B128" s="2">
        <v>45813</v>
      </c>
      <c r="C128" s="1">
        <v>0.54587962962962966</v>
      </c>
      <c r="D128">
        <v>10</v>
      </c>
    </row>
    <row r="129" spans="1:4" x14ac:dyDescent="0.3">
      <c r="A129" t="s">
        <v>3</v>
      </c>
      <c r="B129" s="2">
        <v>45813</v>
      </c>
      <c r="C129" s="1">
        <v>0.73979166666666663</v>
      </c>
      <c r="D129">
        <v>2</v>
      </c>
    </row>
    <row r="130" spans="1:4" x14ac:dyDescent="0.3">
      <c r="A130" t="s">
        <v>3</v>
      </c>
      <c r="B130" s="2">
        <v>45817</v>
      </c>
      <c r="C130" s="1">
        <v>0.44771990740740741</v>
      </c>
      <c r="D130">
        <v>2</v>
      </c>
    </row>
    <row r="131" spans="1:4" x14ac:dyDescent="0.3">
      <c r="A131" t="s">
        <v>3</v>
      </c>
      <c r="B131" s="2">
        <v>45817</v>
      </c>
      <c r="C131" s="1">
        <v>0.44797453703703699</v>
      </c>
      <c r="D131">
        <v>2</v>
      </c>
    </row>
    <row r="132" spans="1:4" x14ac:dyDescent="0.3">
      <c r="A132" t="s">
        <v>3</v>
      </c>
      <c r="B132" s="2">
        <v>45817</v>
      </c>
      <c r="C132" s="1">
        <v>0.44817129629629626</v>
      </c>
      <c r="D132">
        <v>2</v>
      </c>
    </row>
    <row r="133" spans="1:4" x14ac:dyDescent="0.3">
      <c r="A133" t="s">
        <v>40</v>
      </c>
      <c r="B133" s="2">
        <v>45818</v>
      </c>
      <c r="C133" s="1">
        <v>0.49619212962962966</v>
      </c>
      <c r="D133">
        <v>5</v>
      </c>
    </row>
    <row r="134" spans="1:4" x14ac:dyDescent="0.3">
      <c r="A134" t="s">
        <v>40</v>
      </c>
      <c r="B134" s="2">
        <v>45818</v>
      </c>
      <c r="C134" s="1">
        <v>0.49756944444444445</v>
      </c>
      <c r="D134">
        <v>5</v>
      </c>
    </row>
    <row r="135" spans="1:4" x14ac:dyDescent="0.3">
      <c r="A135" t="s">
        <v>16</v>
      </c>
      <c r="B135" s="2">
        <v>45818</v>
      </c>
      <c r="C135" s="1">
        <v>0.67913194444444447</v>
      </c>
      <c r="D135">
        <v>4</v>
      </c>
    </row>
    <row r="136" spans="1:4" x14ac:dyDescent="0.3">
      <c r="A136" t="s">
        <v>39</v>
      </c>
      <c r="B136" s="2">
        <v>45818</v>
      </c>
      <c r="C136" s="1">
        <v>0.67927083333333327</v>
      </c>
      <c r="D136">
        <v>4</v>
      </c>
    </row>
    <row r="137" spans="1:4" x14ac:dyDescent="0.3">
      <c r="A137" t="s">
        <v>39</v>
      </c>
      <c r="B137" s="2">
        <v>45818</v>
      </c>
      <c r="C137" s="1">
        <v>0.68033564814814806</v>
      </c>
      <c r="D137">
        <v>4</v>
      </c>
    </row>
    <row r="138" spans="1:4" x14ac:dyDescent="0.3">
      <c r="A138" t="s">
        <v>1</v>
      </c>
      <c r="B138" s="2">
        <v>45819</v>
      </c>
      <c r="C138" s="1">
        <v>0.46474537037037034</v>
      </c>
      <c r="D138">
        <v>1</v>
      </c>
    </row>
    <row r="139" spans="1:4" x14ac:dyDescent="0.3">
      <c r="A139" t="s">
        <v>16</v>
      </c>
      <c r="B139" s="2">
        <v>45819</v>
      </c>
      <c r="C139" s="1">
        <v>0.65777777777777779</v>
      </c>
      <c r="D139">
        <v>4</v>
      </c>
    </row>
    <row r="140" spans="1:4" x14ac:dyDescent="0.3">
      <c r="A140" t="s">
        <v>16</v>
      </c>
      <c r="B140" s="2">
        <v>45819</v>
      </c>
      <c r="C140" s="1">
        <v>0.65863425925925922</v>
      </c>
      <c r="D140">
        <v>4</v>
      </c>
    </row>
    <row r="141" spans="1:4" x14ac:dyDescent="0.3">
      <c r="A141" t="s">
        <v>3</v>
      </c>
      <c r="B141" s="2">
        <v>45819</v>
      </c>
      <c r="C141" s="1">
        <v>0.66011574074074075</v>
      </c>
      <c r="D141">
        <v>2</v>
      </c>
    </row>
    <row r="142" spans="1:4" x14ac:dyDescent="0.3">
      <c r="A142" t="s">
        <v>3</v>
      </c>
      <c r="B142" s="2">
        <v>45819</v>
      </c>
      <c r="C142" s="1">
        <v>0.66081018518518519</v>
      </c>
      <c r="D142">
        <v>2</v>
      </c>
    </row>
    <row r="143" spans="1:4" x14ac:dyDescent="0.3">
      <c r="A143" t="s">
        <v>2</v>
      </c>
      <c r="B143" s="2">
        <v>45820</v>
      </c>
      <c r="C143" s="1">
        <v>0.36939814814814814</v>
      </c>
      <c r="D143">
        <v>5</v>
      </c>
    </row>
    <row r="144" spans="1:4" x14ac:dyDescent="0.3">
      <c r="A144" t="s">
        <v>2</v>
      </c>
      <c r="B144" s="2">
        <v>45820</v>
      </c>
      <c r="C144" s="1">
        <v>0.50981481481481483</v>
      </c>
      <c r="D144">
        <v>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2A902-D117-4267-AA37-238238FD606D}">
  <sheetPr codeName="Sheet14"/>
  <dimension ref="A1:D3"/>
  <sheetViews>
    <sheetView workbookViewId="0">
      <selection activeCell="F22" sqref="F22"/>
    </sheetView>
  </sheetViews>
  <sheetFormatPr defaultRowHeight="14.4" x14ac:dyDescent="0.3"/>
  <cols>
    <col min="1" max="1" width="11" customWidth="1"/>
    <col min="2" max="2" width="12.6640625" customWidth="1"/>
    <col min="3" max="3" width="10" customWidth="1"/>
  </cols>
  <sheetData>
    <row r="1" spans="1:4" x14ac:dyDescent="0.3">
      <c r="A1" t="s">
        <v>5</v>
      </c>
      <c r="B1" t="s">
        <v>6</v>
      </c>
      <c r="C1" t="s">
        <v>7</v>
      </c>
      <c r="D1" t="s">
        <v>14</v>
      </c>
    </row>
    <row r="2" spans="1:4" x14ac:dyDescent="0.3">
      <c r="A2" t="s">
        <v>40</v>
      </c>
      <c r="B2" s="2">
        <v>45772</v>
      </c>
      <c r="C2" s="1">
        <v>0.59309027777777779</v>
      </c>
      <c r="D2">
        <v>10</v>
      </c>
    </row>
    <row r="3" spans="1:4" x14ac:dyDescent="0.3">
      <c r="A3" t="s">
        <v>1</v>
      </c>
      <c r="B3" s="2">
        <v>45775</v>
      </c>
      <c r="C3" s="1">
        <v>0.61614583333333328</v>
      </c>
      <c r="D3">
        <v>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01D408-C9B8-435D-8D6A-443308818B8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5989ece0-f90e-40bf-9c79-1a7beccdb861}" enabled="0" method="" siteId="{5989ece0-f90e-40bf-9c79-1a7beccdb861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Sign_count</vt:lpstr>
      <vt:lpstr>SUMMARY</vt:lpstr>
      <vt:lpstr>user_count</vt:lpstr>
      <vt:lpstr>Start_count</vt:lpstr>
      <vt:lpstr>Open_count</vt:lpstr>
      <vt:lpstr>Export_count</vt:lpstr>
      <vt:lpstr>Cycle_count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Garnier, Andy</dc:creator>
  <cp:lastModifiedBy>Garnier, Andy</cp:lastModifiedBy>
  <dcterms:created xsi:type="dcterms:W3CDTF">2024-09-20T12:52:25Z</dcterms:created>
  <dcterms:modified xsi:type="dcterms:W3CDTF">2025-06-12T19:16:56Z</dcterms:modified>
</cp:coreProperties>
</file>